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mpl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tc={d226b015-0bfe-4156-a8d3-d27a129f4159}</author>
  </authors>
  <commentList>
    <comment ref="A1" authorId="0">
      <text>
        <r>
          <rPr>
            <sz val="10"/>
            <rFont val="Arial"/>
            <family val="2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4ek
</t>
        </r>
      </text>
    </comment>
  </commentList>
</comments>
</file>

<file path=xl/sharedStrings.xml><?xml version="1.0" encoding="utf-8"?>
<sst xmlns="http://schemas.openxmlformats.org/spreadsheetml/2006/main" count="112" uniqueCount="90">
  <si>
    <t xml:space="preserve">№ 13</t>
  </si>
  <si>
    <t xml:space="preserve">№ 14</t>
  </si>
  <si>
    <t xml:space="preserve">№ 15</t>
  </si>
  <si>
    <t xml:space="preserve">№ 16</t>
  </si>
  <si>
    <t xml:space="preserve">№ 17</t>
  </si>
  <si>
    <t xml:space="preserve">№ 18</t>
  </si>
  <si>
    <t xml:space="preserve">№ 19</t>
  </si>
  <si>
    <t xml:space="preserve">№ 20</t>
  </si>
  <si>
    <t xml:space="preserve">№ 21</t>
  </si>
  <si>
    <t xml:space="preserve">№ 22</t>
  </si>
  <si>
    <t xml:space="preserve">№ 23</t>
  </si>
  <si>
    <t xml:space="preserve">№ 24</t>
  </si>
  <si>
    <t xml:space="preserve">(-) !</t>
  </si>
  <si>
    <t xml:space="preserve">№ 1</t>
  </si>
  <si>
    <t xml:space="preserve">№ 2</t>
  </si>
  <si>
    <t xml:space="preserve">№ 3</t>
  </si>
  <si>
    <t xml:space="preserve">№ 4</t>
  </si>
  <si>
    <t xml:space="preserve">№ 5</t>
  </si>
  <si>
    <t xml:space="preserve">№ 6</t>
  </si>
  <si>
    <t xml:space="preserve">№ 7</t>
  </si>
  <si>
    <t xml:space="preserve">№ 8</t>
  </si>
  <si>
    <t xml:space="preserve">№ 9</t>
  </si>
  <si>
    <t xml:space="preserve">№ 10</t>
  </si>
  <si>
    <t xml:space="preserve">№ 11</t>
  </si>
  <si>
    <t xml:space="preserve">№ 12</t>
  </si>
  <si>
    <t xml:space="preserve">Жетоны(-)</t>
  </si>
  <si>
    <t xml:space="preserve">Жетоны (+)</t>
  </si>
  <si>
    <t xml:space="preserve">Результат</t>
  </si>
  <si>
    <t xml:space="preserve">Оплата игрок(+)</t>
  </si>
  <si>
    <t xml:space="preserve">Оплата дом(-)</t>
  </si>
  <si>
    <t xml:space="preserve">Тотал:</t>
  </si>
  <si>
    <t xml:space="preserve">D1</t>
  </si>
  <si>
    <t xml:space="preserve">D2</t>
  </si>
  <si>
    <t xml:space="preserve">D3</t>
  </si>
  <si>
    <t xml:space="preserve">Рейк</t>
  </si>
  <si>
    <t xml:space="preserve">Время</t>
  </si>
  <si>
    <t xml:space="preserve">официантка</t>
  </si>
  <si>
    <t xml:space="preserve">Рейк брутто</t>
  </si>
  <si>
    <t xml:space="preserve">Жетоны</t>
  </si>
  <si>
    <t xml:space="preserve"> на столе</t>
  </si>
  <si>
    <t xml:space="preserve">Открытие </t>
  </si>
  <si>
    <t xml:space="preserve">#1</t>
  </si>
  <si>
    <t xml:space="preserve">Касса</t>
  </si>
  <si>
    <t xml:space="preserve">Остаток</t>
  </si>
  <si>
    <t xml:space="preserve">#2</t>
  </si>
  <si>
    <t xml:space="preserve">Покупки  </t>
  </si>
  <si>
    <t xml:space="preserve">(-)</t>
  </si>
  <si>
    <t xml:space="preserve">(+)</t>
  </si>
  <si>
    <t xml:space="preserve">#3</t>
  </si>
  <si>
    <t xml:space="preserve">#4</t>
  </si>
  <si>
    <t xml:space="preserve">#5</t>
  </si>
  <si>
    <t xml:space="preserve">#6</t>
  </si>
  <si>
    <t xml:space="preserve">#7</t>
  </si>
  <si>
    <t xml:space="preserve">#8</t>
  </si>
  <si>
    <t xml:space="preserve">#9</t>
  </si>
  <si>
    <t xml:space="preserve">#10</t>
  </si>
  <si>
    <t xml:space="preserve">#11</t>
  </si>
  <si>
    <t xml:space="preserve"> </t>
  </si>
  <si>
    <t xml:space="preserve">#12</t>
  </si>
  <si>
    <t xml:space="preserve">Бонусы </t>
  </si>
  <si>
    <t xml:space="preserve">#13</t>
  </si>
  <si>
    <t xml:space="preserve">#14</t>
  </si>
  <si>
    <t xml:space="preserve">#15</t>
  </si>
  <si>
    <t xml:space="preserve">Яхцанут</t>
  </si>
  <si>
    <t xml:space="preserve">#16</t>
  </si>
  <si>
    <t xml:space="preserve">Игроки </t>
  </si>
  <si>
    <t xml:space="preserve">#17</t>
  </si>
  <si>
    <t xml:space="preserve">Игроки всего</t>
  </si>
  <si>
    <t xml:space="preserve">#18</t>
  </si>
  <si>
    <t xml:space="preserve">#19</t>
  </si>
  <si>
    <t xml:space="preserve">З/П тотал</t>
  </si>
  <si>
    <t xml:space="preserve">#20</t>
  </si>
  <si>
    <t xml:space="preserve">Официантка</t>
  </si>
  <si>
    <t xml:space="preserve">Игроки</t>
  </si>
  <si>
    <t xml:space="preserve">#21</t>
  </si>
  <si>
    <t xml:space="preserve">Дилер 1</t>
  </si>
  <si>
    <t xml:space="preserve">#22</t>
  </si>
  <si>
    <t xml:space="preserve">Дилер 2</t>
  </si>
  <si>
    <t xml:space="preserve">#23</t>
  </si>
  <si>
    <t xml:space="preserve">Дилер 3</t>
  </si>
  <si>
    <t xml:space="preserve">#24</t>
  </si>
  <si>
    <t xml:space="preserve">Расходы  тотал </t>
  </si>
  <si>
    <t xml:space="preserve">Расходы</t>
  </si>
  <si>
    <t xml:space="preserve">Игроки Хантер</t>
  </si>
  <si>
    <t xml:space="preserve">Рейк нетто</t>
  </si>
  <si>
    <t xml:space="preserve">Тотал</t>
  </si>
  <si>
    <t xml:space="preserve">Рэйк+Тип</t>
  </si>
  <si>
    <t xml:space="preserve">тип</t>
  </si>
  <si>
    <t xml:space="preserve">Рабочие часы</t>
  </si>
  <si>
    <t xml:space="preserve">Брутто 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</si>
</sst>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hh:mm"/>
    <numFmt numFmtId="166" formatCode="dd/mm/yy\ hh:mm"/>
  </numFmts>
  <fonts count="1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i val="true"/>
      <sz val="11"/>
      <color rgb="FF000000"/>
      <name val="Roboto Mono"/>
      <family val="0"/>
      <charset val="1"/>
    </font>
    <font>
      <sz val="9"/>
      <color rgb="FF000000"/>
      <name val="&quot;Google Sans Mono&quot;"/>
      <family val="0"/>
      <charset val="1"/>
    </font>
    <font>
      <b val="true"/>
      <i val="true"/>
      <sz val="11"/>
      <color rgb="FFEA4335"/>
      <name val="Roboto Mono"/>
      <family val="0"/>
      <charset val="1"/>
    </font>
    <font>
      <b val="true"/>
      <i val="true"/>
      <u val="single"/>
      <sz val="11"/>
      <color rgb="FFFF0000"/>
      <name val="Roboto Mono"/>
      <family val="0"/>
      <charset val="1"/>
    </font>
    <font>
      <b val="true"/>
      <i val="true"/>
      <sz val="11"/>
      <color rgb="FF000000"/>
      <name val="Inconsolata"/>
      <family val="0"/>
      <charset val="1"/>
    </font>
    <font>
      <b val="true"/>
      <i val="true"/>
      <sz val="11"/>
      <color theme="1"/>
      <name val="Roboto Mono"/>
      <family val="0"/>
      <charset val="1"/>
    </font>
    <font>
      <b val="true"/>
      <i val="true"/>
      <u val="single"/>
      <sz val="11"/>
      <color rgb="FF000000"/>
      <name val="Roboto Mono"/>
      <family val="0"/>
      <charset val="1"/>
    </font>
    <font>
      <b val="true"/>
      <i val="true"/>
      <u val="single"/>
      <sz val="11"/>
      <color rgb="FF0B5394"/>
      <name val="Roboto Mono"/>
      <family val="0"/>
      <charset val="1"/>
    </font>
    <font>
      <b val="true"/>
      <i val="true"/>
      <u val="single"/>
      <sz val="11"/>
      <color rgb="FF93C47D"/>
      <name val="Roboto Mono"/>
      <family val="0"/>
      <charset val="1"/>
    </font>
    <font>
      <b val="true"/>
      <i val="true"/>
      <u val="single"/>
      <sz val="11"/>
      <color rgb="FFBF9000"/>
      <name val="Roboto Mono"/>
      <family val="0"/>
      <charset val="1"/>
    </font>
    <font>
      <b val="true"/>
      <i val="true"/>
      <u val="single"/>
      <sz val="11"/>
      <color rgb="FFA64D79"/>
      <name val="Roboto Mono"/>
      <family val="0"/>
      <charset val="1"/>
    </font>
    <font>
      <b val="true"/>
      <i val="true"/>
      <sz val="11"/>
      <color rgb="FFFF0000"/>
      <name val="Roboto Mono"/>
      <family val="0"/>
      <charset val="1"/>
    </font>
    <font>
      <b val="true"/>
      <i val="true"/>
      <sz val="11"/>
      <color rgb="FF6AA84F"/>
      <name val="Roboto Mono"/>
      <family val="0"/>
      <charset val="1"/>
    </font>
    <font>
      <sz val="10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6FA8DC"/>
        <bgColor rgb="FF6D9EEB"/>
      </patternFill>
    </fill>
    <fill>
      <patternFill patternType="solid">
        <fgColor rgb="FFF6B26B"/>
        <bgColor rgb="FFD5A6BD"/>
      </patternFill>
    </fill>
    <fill>
      <patternFill patternType="solid">
        <fgColor rgb="FF00FFFF"/>
        <bgColor rgb="FF00FFFF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33CCCC"/>
      </patternFill>
    </fill>
    <fill>
      <patternFill patternType="solid">
        <fgColor rgb="FFFF0000"/>
        <bgColor rgb="FFEA4335"/>
      </patternFill>
    </fill>
    <fill>
      <patternFill patternType="solid">
        <fgColor rgb="FF6D9EEB"/>
        <bgColor rgb="FF6FA8DC"/>
      </patternFill>
    </fill>
    <fill>
      <patternFill patternType="solid">
        <fgColor rgb="FFB6D7A8"/>
        <bgColor rgb="FFB7B7B7"/>
      </patternFill>
    </fill>
    <fill>
      <patternFill patternType="solid">
        <fgColor rgb="FFFFF2CC"/>
        <bgColor rgb="FFFFFFFF"/>
      </patternFill>
    </fill>
    <fill>
      <patternFill patternType="solid">
        <fgColor rgb="FFD5A6BD"/>
        <bgColor rgb="FFB4A7D6"/>
      </patternFill>
    </fill>
    <fill>
      <patternFill patternType="solid">
        <fgColor rgb="FFB7B7B7"/>
        <bgColor rgb="FFB4A7D6"/>
      </patternFill>
    </fill>
    <fill>
      <patternFill patternType="solid">
        <fgColor rgb="FFC9DAF8"/>
        <bgColor rgb="FFCFE2F3"/>
      </patternFill>
    </fill>
    <fill>
      <patternFill patternType="solid">
        <fgColor rgb="FFFBBC04"/>
        <bgColor rgb="FFF6B26B"/>
      </patternFill>
    </fill>
    <fill>
      <patternFill patternType="solid">
        <fgColor theme="0"/>
        <bgColor rgb="FFFFF2CC"/>
      </patternFill>
    </fill>
    <fill>
      <patternFill patternType="solid">
        <fgColor rgb="FFD9D9D9"/>
        <bgColor rgb="FFCFE2F3"/>
      </patternFill>
    </fill>
    <fill>
      <patternFill patternType="solid">
        <fgColor rgb="FF9FC5E8"/>
        <bgColor rgb="FFB7B7B7"/>
      </patternFill>
    </fill>
    <fill>
      <patternFill patternType="solid">
        <fgColor rgb="FFF4CCCC"/>
        <bgColor rgb="FFD9D9D9"/>
      </patternFill>
    </fill>
    <fill>
      <patternFill patternType="solid">
        <fgColor rgb="FFD9EAD3"/>
        <bgColor rgb="FFD9D9D9"/>
      </patternFill>
    </fill>
    <fill>
      <patternFill patternType="solid">
        <fgColor rgb="FFB4A7D6"/>
        <bgColor rgb="FFB7B7B7"/>
      </patternFill>
    </fill>
    <fill>
      <patternFill patternType="solid">
        <fgColor rgb="FFCFE2F3"/>
        <bgColor rgb="FFC9DAF8"/>
      </patternFill>
    </fill>
  </fills>
  <borders count="84">
    <border diagonalUp="false" diagonalDown="false">
      <left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/>
      <right style="thin"/>
      <top style="thick"/>
      <bottom style="thin"/>
      <diagonal/>
    </border>
    <border diagonalUp="false" diagonalDown="false">
      <left style="thin"/>
      <right style="thick"/>
      <top style="thick"/>
      <bottom style="thin"/>
      <diagonal/>
    </border>
    <border diagonalUp="false" diagonalDown="false">
      <left style="thin"/>
      <right/>
      <top style="thick"/>
      <bottom style="thin"/>
      <diagonal/>
    </border>
    <border diagonalUp="false" diagonalDown="false">
      <left style="medium"/>
      <right style="medium"/>
      <top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ck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ck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ck"/>
      <right style="thin"/>
      <top/>
      <bottom style="thin"/>
      <diagonal/>
    </border>
    <border diagonalUp="false" diagonalDown="false">
      <left style="thick"/>
      <right style="thin"/>
      <top style="thin"/>
      <bottom style="thin"/>
      <diagonal/>
    </border>
    <border diagonalUp="false" diagonalDown="false">
      <left style="thick"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ck"/>
      <top/>
      <bottom style="thin"/>
      <diagonal/>
    </border>
    <border diagonalUp="false" diagonalDown="false">
      <left style="thick"/>
      <right/>
      <top style="thin"/>
      <bottom style="thin"/>
      <diagonal/>
    </border>
    <border diagonalUp="false" diagonalDown="false">
      <left style="thick"/>
      <right style="thin"/>
      <top style="thin"/>
      <bottom style="thick"/>
      <diagonal/>
    </border>
    <border diagonalUp="false" diagonalDown="false">
      <left style="thin"/>
      <right style="thin"/>
      <top style="thin"/>
      <bottom style="thick"/>
      <diagonal/>
    </border>
    <border diagonalUp="false" diagonalDown="false">
      <left style="thin"/>
      <right/>
      <top style="thin"/>
      <bottom style="thick"/>
      <diagonal/>
    </border>
    <border diagonalUp="false" diagonalDown="false">
      <left/>
      <right style="thick"/>
      <top/>
      <bottom style="thick"/>
      <diagonal/>
    </border>
    <border diagonalUp="false" diagonalDown="false">
      <left style="hair"/>
      <right style="hair"/>
      <top/>
      <bottom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/>
      <bottom style="dotted"/>
      <diagonal/>
    </border>
    <border diagonalUp="false" diagonalDown="false">
      <left style="thin"/>
      <right style="thin"/>
      <top/>
      <bottom style="dotted"/>
      <diagonal/>
    </border>
    <border diagonalUp="false" diagonalDown="false">
      <left style="thin"/>
      <right/>
      <top/>
      <bottom style="dotted"/>
      <diagonal/>
    </border>
    <border diagonalUp="false" diagonalDown="false">
      <left style="hair"/>
      <right/>
      <top/>
      <bottom style="hair"/>
      <diagonal/>
    </border>
    <border diagonalUp="false" diagonalDown="false">
      <left style="thin"/>
      <right/>
      <top/>
      <bottom style="hair"/>
      <diagonal/>
    </border>
    <border diagonalUp="false" diagonalDown="false">
      <left style="thick"/>
      <right style="hair"/>
      <top style="thick"/>
      <bottom style="hair"/>
      <diagonal/>
    </border>
    <border diagonalUp="false" diagonalDown="false">
      <left style="hair"/>
      <right style="thick"/>
      <top style="thick"/>
      <bottom style="hair"/>
      <diagonal/>
    </border>
    <border diagonalUp="false" diagonalDown="false">
      <left/>
      <right style="hair"/>
      <top style="thick"/>
      <bottom style="hair"/>
      <diagonal/>
    </border>
    <border diagonalUp="false" diagonalDown="false">
      <left style="hair"/>
      <right style="medium"/>
      <top style="thick"/>
      <bottom style="hair"/>
      <diagonal/>
    </border>
    <border diagonalUp="false" diagonalDown="false">
      <left/>
      <right/>
      <top style="hair"/>
      <bottom style="hair"/>
      <diagonal/>
    </border>
    <border diagonalUp="false" diagonalDown="false">
      <left style="medium"/>
      <right style="hair"/>
      <top style="medium"/>
      <bottom style="hair"/>
      <diagonal/>
    </border>
    <border diagonalUp="false" diagonalDown="false">
      <left style="hair"/>
      <right style="hair"/>
      <top style="medium"/>
      <bottom style="hair"/>
      <diagonal/>
    </border>
    <border diagonalUp="false" diagonalDown="false">
      <left style="hair"/>
      <right style="medium"/>
      <top style="medium"/>
      <bottom style="hair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dotted"/>
      <bottom style="thin"/>
      <diagonal/>
    </border>
    <border diagonalUp="false" diagonalDown="false">
      <left style="thin"/>
      <right style="thin"/>
      <top style="dotted"/>
      <bottom/>
      <diagonal/>
    </border>
    <border diagonalUp="false" diagonalDown="false">
      <left style="thin"/>
      <right/>
      <top style="dotted"/>
      <bottom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/>
      <right/>
      <top style="hair"/>
      <bottom style="thin"/>
      <diagonal/>
    </border>
    <border diagonalUp="false" diagonalDown="false">
      <left style="hair"/>
      <right style="hair"/>
      <top style="hair"/>
      <bottom style="thin"/>
      <diagonal/>
    </border>
    <border diagonalUp="false" diagonalDown="false">
      <left style="hair"/>
      <right style="hair"/>
      <top/>
      <bottom style="thin"/>
      <diagonal/>
    </border>
    <border diagonalUp="false" diagonalDown="false">
      <left style="hair"/>
      <right style="thick"/>
      <top/>
      <bottom style="thin"/>
      <diagonal/>
    </border>
    <border diagonalUp="false" diagonalDown="false">
      <left/>
      <right style="hair"/>
      <top/>
      <bottom style="thin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thick"/>
      <right style="thick"/>
      <top style="thick"/>
      <bottom style="thick"/>
      <diagonal/>
    </border>
    <border diagonalUp="false" diagonalDown="false">
      <left/>
      <right/>
      <top style="thin"/>
      <bottom style="thin"/>
      <diagonal/>
    </border>
    <border diagonalUp="false" diagonalDown="false">
      <left style="dotted"/>
      <right/>
      <top style="dotted"/>
      <bottom style="dotted"/>
      <diagonal/>
    </border>
    <border diagonalUp="false" diagonalDown="false">
      <left style="thick"/>
      <right/>
      <top style="thick"/>
      <bottom style="thick"/>
      <diagonal/>
    </border>
    <border diagonalUp="false" diagonalDown="false">
      <left/>
      <right/>
      <top style="thick"/>
      <bottom style="thick"/>
      <diagonal/>
    </border>
    <border diagonalUp="false" diagonalDown="false">
      <left/>
      <right style="thin"/>
      <top style="hair"/>
      <bottom style="hair"/>
      <diagonal/>
    </border>
    <border diagonalUp="false" diagonalDown="false">
      <left/>
      <right style="hair"/>
      <top/>
      <bottom style="hair"/>
      <diagonal/>
    </border>
    <border diagonalUp="false" diagonalDown="false">
      <left style="thick"/>
      <right style="thin"/>
      <top style="thick"/>
      <bottom style="thick"/>
      <diagonal/>
    </border>
    <border diagonalUp="false" diagonalDown="false">
      <left style="thin"/>
      <right style="thick"/>
      <top style="thick"/>
      <bottom style="thick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ck"/>
      <right style="thin"/>
      <top/>
      <bottom style="thick"/>
      <diagonal/>
    </border>
    <border diagonalUp="false" diagonalDown="false">
      <left/>
      <right style="hair"/>
      <top style="hair"/>
      <bottom style="hair"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 style="thick"/>
      <right style="thick"/>
      <top style="thick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/>
      <right style="thin"/>
      <top/>
      <bottom style="hair"/>
      <diagonal/>
    </border>
    <border diagonalUp="false" diagonalDown="false">
      <left style="thick"/>
      <right style="thick"/>
      <top style="thin"/>
      <bottom style="thick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 style="dotted"/>
      <top style="dotted"/>
      <bottom style="dotted"/>
      <diagonal/>
    </border>
    <border diagonalUp="false" diagonalDown="false">
      <left style="dotted"/>
      <right style="dotted"/>
      <top style="dotted"/>
      <bottom style="dotted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thick"/>
      <right/>
      <top/>
      <bottom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hair"/>
      <right style="thick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" fillId="3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4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4" fillId="3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5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" fillId="3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6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7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8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3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1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1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1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2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4" borderId="1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3" borderId="2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4" borderId="2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5" borderId="2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5" borderId="1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" fillId="3" borderId="2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5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6" borderId="2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6" borderId="1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6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7" borderId="2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7" borderId="1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7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8" borderId="2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8" borderId="1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8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2" borderId="2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2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2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2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2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2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2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2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3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3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3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3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3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3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10" borderId="3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10" borderId="3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11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11" borderId="3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12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12" borderId="3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4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13" borderId="4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14" borderId="4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10" borderId="4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11" borderId="4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12" borderId="4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2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4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4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4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4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4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4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5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10" borderId="5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5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11" borderId="5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12" borderId="5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5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5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13" borderId="5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14" borderId="5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10" borderId="5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11" borderId="5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12" borderId="5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15" borderId="5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5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16" borderId="5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6" borderId="5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6" borderId="5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6" borderId="5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8" borderId="5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8" borderId="5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6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2" borderId="2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2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10" borderId="2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3" borderId="2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11" borderId="6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12" borderId="6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2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2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2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2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4" fillId="0" borderId="2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7" borderId="6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7" borderId="6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6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7" borderId="6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7" borderId="2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10" borderId="5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" fillId="3" borderId="5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11" borderId="6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12" borderId="6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17" borderId="5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14" borderId="5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10" borderId="5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11" borderId="5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12" borderId="6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6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16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8" borderId="2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18" borderId="6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18" borderId="7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18" borderId="7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18" borderId="7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7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7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16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8" borderId="4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19" borderId="7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19" borderId="7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20" borderId="7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7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7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12" borderId="5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7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5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5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5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7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1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11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11" borderId="2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11" borderId="2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7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17" borderId="1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17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14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14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10" borderId="2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1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12" borderId="2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12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17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17" borderId="2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19" borderId="8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20" borderId="7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17" borderId="2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1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4" borderId="2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4" borderId="4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19" borderId="8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19" borderId="8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20" borderId="8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5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5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21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1" borderId="2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1" borderId="2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22" borderId="2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2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6" borderId="5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10" borderId="5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3" borderId="8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11" borderId="6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12" borderId="6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3" borderId="5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6" borderId="5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16" borderId="5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54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6D9EEB"/>
      <rgbColor rgb="FFA64D79"/>
      <rgbColor rgb="FFFFF2CC"/>
      <rgbColor rgb="FFCFE2F3"/>
      <rgbColor rgb="FF660066"/>
      <rgbColor rgb="FFF6B26B"/>
      <rgbColor rgb="FF0B5394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D9D9"/>
      <rgbColor rgb="FFD9EAD3"/>
      <rgbColor rgb="FFB6D7A8"/>
      <rgbColor rgb="FF9FC5E8"/>
      <rgbColor rgb="FFD5A6BD"/>
      <rgbColor rgb="FFB4A7D6"/>
      <rgbColor rgb="FFF4CCCC"/>
      <rgbColor rgb="FF3366FF"/>
      <rgbColor rgb="FF33CCCC"/>
      <rgbColor rgb="FF93C47D"/>
      <rgbColor rgb="FFFBBC04"/>
      <rgbColor rgb="FFBF9000"/>
      <rgbColor rgb="FFEA4335"/>
      <rgbColor rgb="FF666699"/>
      <rgbColor rgb="FF6FA8DC"/>
      <rgbColor rgb="FF003366"/>
      <rgbColor rgb="FF6AA84F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6"/>
  <sheetViews>
    <sheetView showFormulas="false" showGridLines="true" showRowColHeaders="true" showZeros="true" rightToLeft="false" tabSelected="true" showOutlineSymbols="true" defaultGridColor="true" view="normal" topLeftCell="A45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sheetData>
    <row r="1" customFormat="false" ht="15.75" hidden="false" customHeight="true" outlineLevel="0" collapsed="false">
      <c r="A1" s="1" t="n">
        <v>1</v>
      </c>
      <c r="B1" s="2"/>
      <c r="C1" s="3" t="s">
        <v>0</v>
      </c>
      <c r="D1" s="2"/>
      <c r="E1" s="3" t="s">
        <v>1</v>
      </c>
      <c r="F1" s="2"/>
      <c r="G1" s="3" t="s">
        <v>2</v>
      </c>
      <c r="H1" s="2"/>
      <c r="I1" s="3" t="s">
        <v>3</v>
      </c>
      <c r="J1" s="2"/>
      <c r="K1" s="3" t="s">
        <v>4</v>
      </c>
      <c r="L1" s="2"/>
      <c r="M1" s="3" t="s">
        <v>5</v>
      </c>
      <c r="N1" s="2"/>
      <c r="O1" s="3" t="s">
        <v>6</v>
      </c>
      <c r="P1" s="2"/>
      <c r="Q1" s="3" t="s">
        <v>7</v>
      </c>
      <c r="R1" s="2"/>
      <c r="S1" s="3" t="s">
        <v>8</v>
      </c>
      <c r="T1" s="2"/>
      <c r="U1" s="3" t="s">
        <v>9</v>
      </c>
      <c r="V1" s="2"/>
      <c r="W1" s="3" t="s">
        <v>10</v>
      </c>
      <c r="X1" s="2"/>
      <c r="Y1" s="4" t="s">
        <v>11</v>
      </c>
      <c r="Z1" s="5"/>
    </row>
    <row r="2" customFormat="false" ht="15.75" hidden="false" customHeight="true" outlineLevel="0" collapsed="false">
      <c r="A2" s="1" t="s">
        <v>12</v>
      </c>
      <c r="B2" s="6"/>
      <c r="C2" s="7" t="str">
        <f aca="true">IF(B2&lt;&gt;"",IF(C2&lt;&gt;"",C2,NOW()),"")</f>
        <v/>
      </c>
      <c r="D2" s="6"/>
      <c r="E2" s="7" t="str">
        <f aca="true">IF(D2&lt;&gt;"",IF(E2&lt;&gt;"",E2,NOW()),"")</f>
        <v/>
      </c>
      <c r="F2" s="6"/>
      <c r="G2" s="7" t="str">
        <f aca="true">IF(F2&lt;&gt;"",IF(G2&lt;&gt;"",G2,NOW()),"")</f>
        <v/>
      </c>
      <c r="H2" s="6"/>
      <c r="I2" s="7" t="str">
        <f aca="true">IF(H2&lt;&gt;"",IF(I2&lt;&gt;"",I2,NOW()),"")</f>
        <v/>
      </c>
      <c r="J2" s="6"/>
      <c r="K2" s="7" t="str">
        <f aca="true">IF(J2&lt;&gt;"",IF(K2&lt;&gt;"",K2,NOW()),"")</f>
        <v/>
      </c>
      <c r="L2" s="6"/>
      <c r="M2" s="7" t="str">
        <f aca="true">IF(L2&lt;&gt;"",IF(M2&lt;&gt;"",M2,NOW()),"")</f>
        <v/>
      </c>
      <c r="N2" s="6"/>
      <c r="O2" s="7" t="str">
        <f aca="true">IF(N2&lt;&gt;"",IF(O2&lt;&gt;"",O2,NOW()),"")</f>
        <v/>
      </c>
      <c r="P2" s="6"/>
      <c r="Q2" s="7" t="str">
        <f aca="true">IF(P2&lt;&gt;"",IF(Q2&lt;&gt;"",Q2,NOW()),"")</f>
        <v/>
      </c>
      <c r="R2" s="6"/>
      <c r="S2" s="7" t="str">
        <f aca="true">IF(R2&lt;&gt;"",IF(S2&lt;&gt;"",S2,NOW()),"")</f>
        <v/>
      </c>
      <c r="T2" s="6"/>
      <c r="U2" s="7" t="str">
        <f aca="true">IF(T2&lt;&gt;"",IF(U2&lt;&gt;"",U2,NOW()),"")</f>
        <v/>
      </c>
      <c r="V2" s="6"/>
      <c r="W2" s="7" t="str">
        <f aca="true">IF(V2&lt;&gt;"",IF(W2&lt;&gt;"",W2,NOW()),"")</f>
        <v/>
      </c>
      <c r="X2" s="6"/>
      <c r="Y2" s="7" t="str">
        <f aca="true">IF(X2&lt;&gt;"",IF(Y2&lt;&gt;"",Y2,NOW()),"")</f>
        <v/>
      </c>
      <c r="Z2" s="5"/>
    </row>
    <row r="3" customFormat="false" ht="15.75" hidden="false" customHeight="true" outlineLevel="0" collapsed="false">
      <c r="A3" s="1"/>
      <c r="B3" s="6"/>
      <c r="C3" s="7" t="str">
        <f aca="true">IF(B3&lt;&gt;"",IF(C3&lt;&gt;"",C3,NOW()),"")</f>
        <v/>
      </c>
      <c r="D3" s="6"/>
      <c r="E3" s="7" t="str">
        <f aca="true">IF(D3&lt;&gt;"",IF(E3&lt;&gt;"",E3,NOW()),"")</f>
        <v/>
      </c>
      <c r="F3" s="6"/>
      <c r="G3" s="7" t="str">
        <f aca="true">IF(F3&lt;&gt;"",IF(G3&lt;&gt;"",G3,NOW()),"")</f>
        <v/>
      </c>
      <c r="H3" s="6"/>
      <c r="I3" s="7" t="str">
        <f aca="true">IF(H3&lt;&gt;"",IF(I3&lt;&gt;"",I3,NOW()),"")</f>
        <v/>
      </c>
      <c r="J3" s="6"/>
      <c r="K3" s="7" t="str">
        <f aca="true">IF(J3&lt;&gt;"",IF(K3&lt;&gt;"",K3,NOW()),"")</f>
        <v/>
      </c>
      <c r="L3" s="6"/>
      <c r="M3" s="7" t="str">
        <f aca="true">IF(L3&lt;&gt;"",IF(M3&lt;&gt;"",M3,NOW()),"")</f>
        <v/>
      </c>
      <c r="N3" s="6"/>
      <c r="O3" s="7" t="str">
        <f aca="true">IF(N3&lt;&gt;"",IF(O3&lt;&gt;"",O3,NOW()),"")</f>
        <v/>
      </c>
      <c r="P3" s="6"/>
      <c r="Q3" s="7" t="str">
        <f aca="true">IF(P3&lt;&gt;"",IF(Q3&lt;&gt;"",Q3,NOW()),"")</f>
        <v/>
      </c>
      <c r="R3" s="6"/>
      <c r="S3" s="7" t="str">
        <f aca="true">IF(R3&lt;&gt;"",IF(S3&lt;&gt;"",S3,NOW()),"")</f>
        <v/>
      </c>
      <c r="T3" s="6"/>
      <c r="U3" s="7" t="str">
        <f aca="true">IF(T3&lt;&gt;"",IF(U3&lt;&gt;"",U3,NOW()),"")</f>
        <v/>
      </c>
      <c r="V3" s="6"/>
      <c r="W3" s="7" t="str">
        <f aca="true">IF(V3&lt;&gt;"",IF(W3&lt;&gt;"",W3,NOW()),"")</f>
        <v/>
      </c>
      <c r="X3" s="6"/>
      <c r="Y3" s="7" t="str">
        <f aca="true">IF(X3&lt;&gt;"",IF(Y3&lt;&gt;"",Y3,NOW()),"")</f>
        <v/>
      </c>
      <c r="Z3" s="5"/>
    </row>
    <row r="4" customFormat="false" ht="15.75" hidden="false" customHeight="true" outlineLevel="0" collapsed="false">
      <c r="A4" s="1"/>
      <c r="B4" s="6"/>
      <c r="C4" s="7" t="str">
        <f aca="true">IF(B4&lt;&gt;"",IF(C4&lt;&gt;"",C4,NOW()),"")</f>
        <v/>
      </c>
      <c r="D4" s="6"/>
      <c r="E4" s="7" t="str">
        <f aca="true">IF(D4&lt;&gt;"",IF(E4&lt;&gt;"",E4,NOW()),"")</f>
        <v/>
      </c>
      <c r="F4" s="6"/>
      <c r="G4" s="7" t="str">
        <f aca="true">IF(F4&lt;&gt;"",IF(G4&lt;&gt;"",G4,NOW()),"")</f>
        <v/>
      </c>
      <c r="H4" s="6"/>
      <c r="I4" s="7" t="str">
        <f aca="true">IF(H4&lt;&gt;"",IF(I4&lt;&gt;"",I4,NOW()),"")</f>
        <v/>
      </c>
      <c r="J4" s="6"/>
      <c r="K4" s="7" t="str">
        <f aca="true">IF(J4&lt;&gt;"",IF(K4&lt;&gt;"",K4,NOW()),"")</f>
        <v/>
      </c>
      <c r="L4" s="6"/>
      <c r="M4" s="7" t="str">
        <f aca="true">IF(L4&lt;&gt;"",IF(M4&lt;&gt;"",M4,NOW()),"")</f>
        <v/>
      </c>
      <c r="N4" s="6"/>
      <c r="O4" s="7" t="str">
        <f aca="true">IF(N4&lt;&gt;"",IF(O4&lt;&gt;"",O4,NOW()),"")</f>
        <v/>
      </c>
      <c r="P4" s="6"/>
      <c r="Q4" s="7" t="str">
        <f aca="true">IF(P4&lt;&gt;"",IF(Q4&lt;&gt;"",Q4,NOW()),"")</f>
        <v/>
      </c>
      <c r="R4" s="6"/>
      <c r="S4" s="7" t="str">
        <f aca="true">IF(R4&lt;&gt;"",IF(S4&lt;&gt;"",S4,NOW()),"")</f>
        <v/>
      </c>
      <c r="T4" s="6"/>
      <c r="U4" s="7" t="str">
        <f aca="true">IF(T4&lt;&gt;"",IF(U4&lt;&gt;"",U4,NOW()),"")</f>
        <v/>
      </c>
      <c r="V4" s="6"/>
      <c r="W4" s="7" t="str">
        <f aca="true">IF(V4&lt;&gt;"",IF(W4&lt;&gt;"",W4,NOW()),"")</f>
        <v/>
      </c>
      <c r="X4" s="6"/>
      <c r="Y4" s="7" t="str">
        <f aca="true">IF(X4&lt;&gt;"",IF(Y4&lt;&gt;"",Y4,NOW()),"")</f>
        <v/>
      </c>
      <c r="Z4" s="5"/>
    </row>
    <row r="5" customFormat="false" ht="15.75" hidden="false" customHeight="true" outlineLevel="0" collapsed="false">
      <c r="A5" s="1"/>
      <c r="B5" s="6"/>
      <c r="C5" s="7" t="str">
        <f aca="true">IF(B5&lt;&gt;"",IF(C5&lt;&gt;"",C5,NOW()),"")</f>
        <v/>
      </c>
      <c r="D5" s="6"/>
      <c r="E5" s="7" t="str">
        <f aca="true">IF(D5&lt;&gt;"",IF(E5&lt;&gt;"",E5,NOW()),"")</f>
        <v/>
      </c>
      <c r="F5" s="6"/>
      <c r="G5" s="7" t="str">
        <f aca="true">IF(F5&lt;&gt;"",IF(G5&lt;&gt;"",G5,NOW()),"")</f>
        <v/>
      </c>
      <c r="H5" s="6"/>
      <c r="I5" s="7" t="str">
        <f aca="true">IF(H5&lt;&gt;"",IF(I5&lt;&gt;"",I5,NOW()),"")</f>
        <v/>
      </c>
      <c r="J5" s="6"/>
      <c r="K5" s="7" t="str">
        <f aca="true">IF(J5&lt;&gt;"",IF(K5&lt;&gt;"",K5,NOW()),"")</f>
        <v/>
      </c>
      <c r="L5" s="6"/>
      <c r="M5" s="7" t="str">
        <f aca="true">IF(L5&lt;&gt;"",IF(M5&lt;&gt;"",M5,NOW()),"")</f>
        <v/>
      </c>
      <c r="N5" s="6"/>
      <c r="O5" s="7" t="str">
        <f aca="true">IF(N5&lt;&gt;"",IF(O5&lt;&gt;"",O5,NOW()),"")</f>
        <v/>
      </c>
      <c r="P5" s="6"/>
      <c r="Q5" s="7" t="str">
        <f aca="true">IF(P5&lt;&gt;"",IF(Q5&lt;&gt;"",Q5,NOW()),"")</f>
        <v/>
      </c>
      <c r="R5" s="6"/>
      <c r="S5" s="7" t="str">
        <f aca="true">IF(R5&lt;&gt;"",IF(S5&lt;&gt;"",S5,NOW()),"")</f>
        <v/>
      </c>
      <c r="T5" s="6"/>
      <c r="U5" s="7" t="str">
        <f aca="true">IF(T5&lt;&gt;"",IF(U5&lt;&gt;"",U5,NOW()),"")</f>
        <v/>
      </c>
      <c r="V5" s="6"/>
      <c r="W5" s="7" t="str">
        <f aca="true">IF(V5&lt;&gt;"",IF(W5&lt;&gt;"",W5,NOW()),"")</f>
        <v/>
      </c>
      <c r="X5" s="6"/>
      <c r="Y5" s="7" t="str">
        <f aca="true">IF(X5&lt;&gt;"",IF(Y5&lt;&gt;"",Y5,NOW()),"")</f>
        <v/>
      </c>
      <c r="Z5" s="5"/>
    </row>
    <row r="6" customFormat="false" ht="15.75" hidden="false" customHeight="true" outlineLevel="0" collapsed="false">
      <c r="A6" s="1"/>
      <c r="B6" s="6"/>
      <c r="C6" s="7" t="str">
        <f aca="true">IF(B6&lt;&gt;"",IF(C6&lt;&gt;"",C6,NOW()),"")</f>
        <v/>
      </c>
      <c r="D6" s="6"/>
      <c r="E6" s="7" t="str">
        <f aca="true">IF(D6&lt;&gt;"",IF(E6&lt;&gt;"",E6,NOW()),"")</f>
        <v/>
      </c>
      <c r="F6" s="6"/>
      <c r="G6" s="7" t="str">
        <f aca="true">IF(F6&lt;&gt;"",IF(G6&lt;&gt;"",G6,NOW()),"")</f>
        <v/>
      </c>
      <c r="H6" s="6"/>
      <c r="I6" s="7" t="str">
        <f aca="true">IF(H6&lt;&gt;"",IF(I6&lt;&gt;"",I6,NOW()),"")</f>
        <v/>
      </c>
      <c r="J6" s="6"/>
      <c r="K6" s="7" t="str">
        <f aca="true">IF(J6&lt;&gt;"",IF(K6&lt;&gt;"",K6,NOW()),"")</f>
        <v/>
      </c>
      <c r="L6" s="6"/>
      <c r="M6" s="7" t="str">
        <f aca="true">IF(L6&lt;&gt;"",IF(M6&lt;&gt;"",M6,NOW()),"")</f>
        <v/>
      </c>
      <c r="N6" s="6"/>
      <c r="O6" s="7" t="str">
        <f aca="true">IF(N6&lt;&gt;"",IF(O6&lt;&gt;"",O6,NOW()),"")</f>
        <v/>
      </c>
      <c r="P6" s="6"/>
      <c r="Q6" s="7" t="str">
        <f aca="true">IF(P6&lt;&gt;"",IF(Q6&lt;&gt;"",Q6,NOW()),"")</f>
        <v/>
      </c>
      <c r="R6" s="6"/>
      <c r="S6" s="7" t="str">
        <f aca="true">IF(R6&lt;&gt;"",IF(S6&lt;&gt;"",S6,NOW()),"")</f>
        <v/>
      </c>
      <c r="T6" s="6"/>
      <c r="U6" s="7" t="str">
        <f aca="true">IF(T6&lt;&gt;"",IF(U6&lt;&gt;"",U6,NOW()),"")</f>
        <v/>
      </c>
      <c r="V6" s="6"/>
      <c r="W6" s="7" t="str">
        <f aca="true">IF(V6&lt;&gt;"",IF(W6&lt;&gt;"",W6,NOW()),"")</f>
        <v/>
      </c>
      <c r="X6" s="6"/>
      <c r="Y6" s="7" t="str">
        <f aca="true">IF(X6&lt;&gt;"",IF(Y6&lt;&gt;"",Y6,NOW()),"")</f>
        <v/>
      </c>
      <c r="Z6" s="5"/>
    </row>
    <row r="7" customFormat="false" ht="15.75" hidden="false" customHeight="true" outlineLevel="0" collapsed="false">
      <c r="A7" s="1"/>
      <c r="B7" s="6"/>
      <c r="C7" s="7" t="str">
        <f aca="true">IF(B7&lt;&gt;"",IF(C7&lt;&gt;"",C7,NOW()),"")</f>
        <v/>
      </c>
      <c r="D7" s="6"/>
      <c r="E7" s="7" t="str">
        <f aca="true">IF(D7&lt;&gt;"",IF(E7&lt;&gt;"",E7,NOW()),"")</f>
        <v/>
      </c>
      <c r="F7" s="6"/>
      <c r="G7" s="7" t="str">
        <f aca="true">IF(F7&lt;&gt;"",IF(G7&lt;&gt;"",G7,NOW()),"")</f>
        <v/>
      </c>
      <c r="H7" s="6"/>
      <c r="I7" s="7" t="str">
        <f aca="true">IF(H7&lt;&gt;"",IF(I7&lt;&gt;"",I7,NOW()),"")</f>
        <v/>
      </c>
      <c r="J7" s="6"/>
      <c r="K7" s="7" t="str">
        <f aca="true">IF(J7&lt;&gt;"",IF(K7&lt;&gt;"",K7,NOW()),"")</f>
        <v/>
      </c>
      <c r="L7" s="6"/>
      <c r="M7" s="7" t="str">
        <f aca="true">IF(L7&lt;&gt;"",IF(M7&lt;&gt;"",M7,NOW()),"")</f>
        <v/>
      </c>
      <c r="N7" s="6"/>
      <c r="O7" s="7" t="str">
        <f aca="true">IF(N7&lt;&gt;"",IF(O7&lt;&gt;"",O7,NOW()),"")</f>
        <v/>
      </c>
      <c r="P7" s="6"/>
      <c r="Q7" s="7" t="str">
        <f aca="true">IF(P7&lt;&gt;"",IF(Q7&lt;&gt;"",Q7,NOW()),"")</f>
        <v/>
      </c>
      <c r="R7" s="6"/>
      <c r="S7" s="7" t="str">
        <f aca="true">IF(R7&lt;&gt;"",IF(S7&lt;&gt;"",S7,NOW()),"")</f>
        <v/>
      </c>
      <c r="T7" s="6"/>
      <c r="U7" s="7" t="str">
        <f aca="true">IF(T7&lt;&gt;"",IF(U7&lt;&gt;"",U7,NOW()),"")</f>
        <v/>
      </c>
      <c r="V7" s="6"/>
      <c r="W7" s="7" t="str">
        <f aca="true">IF(V7&lt;&gt;"",IF(W7&lt;&gt;"",W7,NOW()),"")</f>
        <v/>
      </c>
      <c r="X7" s="6"/>
      <c r="Y7" s="7" t="str">
        <f aca="true">IF(X7&lt;&gt;"",IF(Y7&lt;&gt;"",Y7,NOW()),"")</f>
        <v/>
      </c>
      <c r="Z7" s="5"/>
    </row>
    <row r="8" customFormat="false" ht="15.75" hidden="false" customHeight="true" outlineLevel="0" collapsed="false">
      <c r="A8" s="1"/>
      <c r="B8" s="6"/>
      <c r="C8" s="7" t="str">
        <f aca="true">IF(B8&lt;&gt;"",IF(C8&lt;&gt;"",C8,NOW()),"")</f>
        <v/>
      </c>
      <c r="D8" s="6"/>
      <c r="E8" s="7" t="str">
        <f aca="true">IF(D8&lt;&gt;"",IF(E8&lt;&gt;"",E8,NOW()),"")</f>
        <v/>
      </c>
      <c r="F8" s="6"/>
      <c r="G8" s="7" t="str">
        <f aca="true">IF(F8&lt;&gt;"",IF(G8&lt;&gt;"",G8,NOW()),"")</f>
        <v/>
      </c>
      <c r="H8" s="6"/>
      <c r="I8" s="7" t="str">
        <f aca="true">IF(H8&lt;&gt;"",IF(I8&lt;&gt;"",I8,NOW()),"")</f>
        <v/>
      </c>
      <c r="J8" s="6"/>
      <c r="K8" s="7" t="str">
        <f aca="true">IF(J8&lt;&gt;"",IF(K8&lt;&gt;"",K8,NOW()),"")</f>
        <v/>
      </c>
      <c r="L8" s="6"/>
      <c r="M8" s="7" t="str">
        <f aca="true">IF(L8&lt;&gt;"",IF(M8&lt;&gt;"",M8,NOW()),"")</f>
        <v/>
      </c>
      <c r="N8" s="6"/>
      <c r="O8" s="7" t="str">
        <f aca="true">IF(N8&lt;&gt;"",IF(O8&lt;&gt;"",O8,NOW()),"")</f>
        <v/>
      </c>
      <c r="P8" s="6"/>
      <c r="Q8" s="7" t="str">
        <f aca="true">IF(P8&lt;&gt;"",IF(Q8&lt;&gt;"",Q8,NOW()),"")</f>
        <v/>
      </c>
      <c r="R8" s="6"/>
      <c r="S8" s="7" t="str">
        <f aca="true">IF(R8&lt;&gt;"",IF(S8&lt;&gt;"",S8,NOW()),"")</f>
        <v/>
      </c>
      <c r="T8" s="6"/>
      <c r="U8" s="7" t="str">
        <f aca="true">IF(T8&lt;&gt;"",IF(U8&lt;&gt;"",U8,NOW()),"")</f>
        <v/>
      </c>
      <c r="V8" s="6"/>
      <c r="W8" s="7" t="str">
        <f aca="true">IF(V8&lt;&gt;"",IF(W8&lt;&gt;"",W8,NOW()),"")</f>
        <v/>
      </c>
      <c r="X8" s="6"/>
      <c r="Y8" s="7" t="str">
        <f aca="true">IF(X8&lt;&gt;"",IF(Y8&lt;&gt;"",Y8,NOW()),"")</f>
        <v/>
      </c>
      <c r="Z8" s="5"/>
    </row>
    <row r="9" customFormat="false" ht="15.75" hidden="false" customHeight="true" outlineLevel="0" collapsed="false">
      <c r="A9" s="1"/>
      <c r="B9" s="6"/>
      <c r="C9" s="7" t="str">
        <f aca="true">IF(B9&lt;&gt;"",IF(C9&lt;&gt;"",C9,NOW()),"")</f>
        <v/>
      </c>
      <c r="D9" s="6"/>
      <c r="E9" s="7" t="str">
        <f aca="true">IF(D9&lt;&gt;"",IF(E9&lt;&gt;"",E9,NOW()),"")</f>
        <v/>
      </c>
      <c r="F9" s="6"/>
      <c r="G9" s="7" t="str">
        <f aca="true">IF(F9&lt;&gt;"",IF(G9&lt;&gt;"",G9,NOW()),"")</f>
        <v/>
      </c>
      <c r="H9" s="6"/>
      <c r="I9" s="7" t="str">
        <f aca="true">IF(H9&lt;&gt;"",IF(I9&lt;&gt;"",I9,NOW()),"")</f>
        <v/>
      </c>
      <c r="J9" s="6"/>
      <c r="K9" s="7" t="str">
        <f aca="true">IF(J9&lt;&gt;"",IF(K9&lt;&gt;"",K9,NOW()),"")</f>
        <v/>
      </c>
      <c r="L9" s="6"/>
      <c r="M9" s="7" t="str">
        <f aca="true">IF(L9&lt;&gt;"",IF(M9&lt;&gt;"",M9,NOW()),"")</f>
        <v/>
      </c>
      <c r="N9" s="6"/>
      <c r="O9" s="7" t="str">
        <f aca="true">IF(N9&lt;&gt;"",IF(O9&lt;&gt;"",O9,NOW()),"")</f>
        <v/>
      </c>
      <c r="P9" s="6"/>
      <c r="Q9" s="7" t="str">
        <f aca="true">IF(P9&lt;&gt;"",IF(Q9&lt;&gt;"",Q9,NOW()),"")</f>
        <v/>
      </c>
      <c r="R9" s="6"/>
      <c r="S9" s="7" t="str">
        <f aca="true">IF(R9&lt;&gt;"",IF(S9&lt;&gt;"",S9,NOW()),"")</f>
        <v/>
      </c>
      <c r="T9" s="6"/>
      <c r="U9" s="7" t="str">
        <f aca="true">IF(T9&lt;&gt;"",IF(U9&lt;&gt;"",U9,NOW()),"")</f>
        <v/>
      </c>
      <c r="V9" s="6"/>
      <c r="W9" s="7" t="str">
        <f aca="true">IF(V9&lt;&gt;"",IF(W9&lt;&gt;"",W9,NOW()),"")</f>
        <v/>
      </c>
      <c r="X9" s="6"/>
      <c r="Y9" s="7" t="str">
        <f aca="true">IF(X9&lt;&gt;"",IF(Y9&lt;&gt;"",Y9,NOW()),"")</f>
        <v/>
      </c>
      <c r="Z9" s="5"/>
    </row>
    <row r="10" customFormat="false" ht="15.75" hidden="false" customHeight="true" outlineLevel="0" collapsed="false">
      <c r="A10" s="1"/>
      <c r="B10" s="6"/>
      <c r="C10" s="7" t="str">
        <f aca="true">IF(B10&lt;&gt;"",IF(C10&lt;&gt;"",C10,NOW()),"")</f>
        <v/>
      </c>
      <c r="D10" s="6"/>
      <c r="E10" s="7" t="str">
        <f aca="true">IF(D10&lt;&gt;"",IF(E10&lt;&gt;"",E10,NOW()),"")</f>
        <v/>
      </c>
      <c r="F10" s="6"/>
      <c r="G10" s="7" t="str">
        <f aca="true">IF(F10&lt;&gt;"",IF(G10&lt;&gt;"",G10,NOW()),"")</f>
        <v/>
      </c>
      <c r="H10" s="6"/>
      <c r="I10" s="7" t="str">
        <f aca="true">IF(H10&lt;&gt;"",IF(I10&lt;&gt;"",I10,NOW()),"")</f>
        <v/>
      </c>
      <c r="J10" s="6"/>
      <c r="K10" s="7" t="str">
        <f aca="true">IF(J10&lt;&gt;"",IF(K10&lt;&gt;"",K10,NOW()),"")</f>
        <v/>
      </c>
      <c r="L10" s="6"/>
      <c r="M10" s="7" t="str">
        <f aca="true">IF(L10&lt;&gt;"",IF(M10&lt;&gt;"",M10,NOW()),"")</f>
        <v/>
      </c>
      <c r="N10" s="6"/>
      <c r="O10" s="7" t="str">
        <f aca="true">IF(N10&lt;&gt;"",IF(O10&lt;&gt;"",O10,NOW()),"")</f>
        <v/>
      </c>
      <c r="P10" s="6"/>
      <c r="Q10" s="7" t="str">
        <f aca="true">IF(P10&lt;&gt;"",IF(Q10&lt;&gt;"",Q10,NOW()),"")</f>
        <v/>
      </c>
      <c r="R10" s="6"/>
      <c r="S10" s="7" t="str">
        <f aca="true">IF(R10&lt;&gt;"",IF(S10&lt;&gt;"",S10,NOW()),"")</f>
        <v/>
      </c>
      <c r="T10" s="6"/>
      <c r="U10" s="7" t="str">
        <f aca="true">IF(T10&lt;&gt;"",IF(U10&lt;&gt;"",U10,NOW()),"")</f>
        <v/>
      </c>
      <c r="V10" s="6"/>
      <c r="W10" s="7" t="str">
        <f aca="true">IF(V10&lt;&gt;"",IF(W10&lt;&gt;"",W10,NOW()),"")</f>
        <v/>
      </c>
      <c r="X10" s="6"/>
      <c r="Y10" s="7" t="str">
        <f aca="true">IF(X10&lt;&gt;"",IF(Y10&lt;&gt;"",Y10,NOW()),"")</f>
        <v/>
      </c>
      <c r="Z10" s="5"/>
    </row>
    <row r="11" customFormat="false" ht="15.75" hidden="false" customHeight="true" outlineLevel="0" collapsed="false">
      <c r="A11" s="1"/>
      <c r="B11" s="6"/>
      <c r="C11" s="7" t="str">
        <f aca="true">IF(B11&lt;&gt;"",IF(C11&lt;&gt;"",C11,NOW()),"")</f>
        <v/>
      </c>
      <c r="D11" s="6"/>
      <c r="E11" s="7" t="str">
        <f aca="true">IF(D11&lt;&gt;"",IF(E11&lt;&gt;"",E11,NOW()),"")</f>
        <v/>
      </c>
      <c r="F11" s="6"/>
      <c r="G11" s="7" t="str">
        <f aca="true">IF(F11&lt;&gt;"",IF(G11&lt;&gt;"",G11,NOW()),"")</f>
        <v/>
      </c>
      <c r="H11" s="6"/>
      <c r="I11" s="7" t="str">
        <f aca="true">IF(H11&lt;&gt;"",IF(I11&lt;&gt;"",I11,NOW()),"")</f>
        <v/>
      </c>
      <c r="J11" s="6"/>
      <c r="K11" s="7" t="str">
        <f aca="true">IF(J11&lt;&gt;"",IF(K11&lt;&gt;"",K11,NOW()),"")</f>
        <v/>
      </c>
      <c r="L11" s="6"/>
      <c r="M11" s="7" t="str">
        <f aca="true">IF(L11&lt;&gt;"",IF(M11&lt;&gt;"",M11,NOW()),"")</f>
        <v/>
      </c>
      <c r="N11" s="6"/>
      <c r="O11" s="7" t="str">
        <f aca="true">IF(N11&lt;&gt;"",IF(O11&lt;&gt;"",O11,NOW()),"")</f>
        <v/>
      </c>
      <c r="P11" s="6"/>
      <c r="Q11" s="7" t="str">
        <f aca="true">IF(P11&lt;&gt;"",IF(Q11&lt;&gt;"",Q11,NOW()),"")</f>
        <v/>
      </c>
      <c r="R11" s="6"/>
      <c r="S11" s="7" t="str">
        <f aca="true">IF(R11&lt;&gt;"",IF(S11&lt;&gt;"",S11,NOW()),"")</f>
        <v/>
      </c>
      <c r="T11" s="6"/>
      <c r="U11" s="7" t="str">
        <f aca="true">IF(T11&lt;&gt;"",IF(U11&lt;&gt;"",U11,NOW()),"")</f>
        <v/>
      </c>
      <c r="V11" s="6"/>
      <c r="W11" s="7" t="str">
        <f aca="true">IF(V11&lt;&gt;"",IF(W11&lt;&gt;"",W11,NOW()),"")</f>
        <v/>
      </c>
      <c r="X11" s="6"/>
      <c r="Y11" s="7" t="str">
        <f aca="true">IF(X11&lt;&gt;"",IF(Y11&lt;&gt;"",Y11,NOW()),"")</f>
        <v/>
      </c>
      <c r="Z11" s="5"/>
    </row>
    <row r="12" customFormat="false" ht="15.75" hidden="false" customHeight="true" outlineLevel="0" collapsed="false">
      <c r="A12" s="1"/>
      <c r="B12" s="6"/>
      <c r="C12" s="7" t="str">
        <f aca="true">IF(B12&lt;&gt;"",IF(C12&lt;&gt;"",C12,NOW()),"")</f>
        <v/>
      </c>
      <c r="D12" s="6"/>
      <c r="E12" s="7" t="str">
        <f aca="true">IF(D12&lt;&gt;"",IF(E12&lt;&gt;"",E12,NOW()),"")</f>
        <v/>
      </c>
      <c r="F12" s="6"/>
      <c r="G12" s="7" t="str">
        <f aca="true">IF(F12&lt;&gt;"",IF(G12&lt;&gt;"",G12,NOW()),"")</f>
        <v/>
      </c>
      <c r="H12" s="6"/>
      <c r="I12" s="7" t="str">
        <f aca="true">IF(H12&lt;&gt;"",IF(I12&lt;&gt;"",I12,NOW()),"")</f>
        <v/>
      </c>
      <c r="J12" s="6"/>
      <c r="K12" s="7" t="str">
        <f aca="true">IF(J12&lt;&gt;"",IF(K12&lt;&gt;"",K12,NOW()),"")</f>
        <v/>
      </c>
      <c r="L12" s="6"/>
      <c r="M12" s="7" t="str">
        <f aca="true">IF(L12&lt;&gt;"",IF(M12&lt;&gt;"",M12,NOW()),"")</f>
        <v/>
      </c>
      <c r="N12" s="6"/>
      <c r="O12" s="7" t="str">
        <f aca="true">IF(N12&lt;&gt;"",IF(O12&lt;&gt;"",O12,NOW()),"")</f>
        <v/>
      </c>
      <c r="P12" s="6"/>
      <c r="Q12" s="7" t="str">
        <f aca="true">IF(P12&lt;&gt;"",IF(Q12&lt;&gt;"",Q12,NOW()),"")</f>
        <v/>
      </c>
      <c r="R12" s="6"/>
      <c r="S12" s="7" t="str">
        <f aca="true">IF(R12&lt;&gt;"",IF(S12&lt;&gt;"",S12,NOW()),"")</f>
        <v/>
      </c>
      <c r="T12" s="6"/>
      <c r="U12" s="7" t="str">
        <f aca="true">IF(T12&lt;&gt;"",IF(U12&lt;&gt;"",U12,NOW()),"")</f>
        <v/>
      </c>
      <c r="V12" s="6"/>
      <c r="W12" s="7" t="str">
        <f aca="true">IF(V12&lt;&gt;"",IF(W12&lt;&gt;"",W12,NOW()),"")</f>
        <v/>
      </c>
      <c r="X12" s="6"/>
      <c r="Y12" s="7" t="str">
        <f aca="true">IF(X12&lt;&gt;"",IF(Y12&lt;&gt;"",Y12,NOW()),"")</f>
        <v/>
      </c>
      <c r="Z12" s="5"/>
    </row>
    <row r="13" customFormat="false" ht="15.75" hidden="false" customHeight="true" outlineLevel="0" collapsed="false">
      <c r="A13" s="1"/>
      <c r="B13" s="6"/>
      <c r="C13" s="7" t="str">
        <f aca="true">IF(B13&lt;&gt;"",IF(C13&lt;&gt;"",C13,NOW()),"")</f>
        <v/>
      </c>
      <c r="D13" s="6"/>
      <c r="E13" s="7" t="str">
        <f aca="true">IF(D13&lt;&gt;"",IF(E13&lt;&gt;"",E13,NOW()),"")</f>
        <v/>
      </c>
      <c r="F13" s="6"/>
      <c r="G13" s="7" t="str">
        <f aca="true">IF(F13&lt;&gt;"",IF(G13&lt;&gt;"",G13,NOW()),"")</f>
        <v/>
      </c>
      <c r="H13" s="6"/>
      <c r="I13" s="7" t="str">
        <f aca="true">IF(H13&lt;&gt;"",IF(I13&lt;&gt;"",I13,NOW()),"")</f>
        <v/>
      </c>
      <c r="J13" s="6"/>
      <c r="K13" s="7" t="str">
        <f aca="true">IF(J13&lt;&gt;"",IF(K13&lt;&gt;"",K13,NOW()),"")</f>
        <v/>
      </c>
      <c r="L13" s="6"/>
      <c r="M13" s="7" t="str">
        <f aca="true">IF(L13&lt;&gt;"",IF(M13&lt;&gt;"",M13,NOW()),"")</f>
        <v/>
      </c>
      <c r="N13" s="6"/>
      <c r="O13" s="7" t="str">
        <f aca="true">IF(N13&lt;&gt;"",IF(O13&lt;&gt;"",O13,NOW()),"")</f>
        <v/>
      </c>
      <c r="P13" s="6"/>
      <c r="Q13" s="7" t="str">
        <f aca="true">IF(P13&lt;&gt;"",IF(Q13&lt;&gt;"",Q13,NOW()),"")</f>
        <v/>
      </c>
      <c r="R13" s="6"/>
      <c r="S13" s="7" t="str">
        <f aca="true">IF(R13&lt;&gt;"",IF(S13&lt;&gt;"",S13,NOW()),"")</f>
        <v/>
      </c>
      <c r="T13" s="6"/>
      <c r="U13" s="7" t="str">
        <f aca="true">IF(T13&lt;&gt;"",IF(U13&lt;&gt;"",U13,NOW()),"")</f>
        <v/>
      </c>
      <c r="V13" s="6"/>
      <c r="W13" s="7" t="str">
        <f aca="true">IF(V13&lt;&gt;"",IF(W13&lt;&gt;"",W13,NOW()),"")</f>
        <v/>
      </c>
      <c r="X13" s="6"/>
      <c r="Y13" s="7" t="str">
        <f aca="true">IF(X13&lt;&gt;"",IF(Y13&lt;&gt;"",Y13,NOW()),"")</f>
        <v/>
      </c>
      <c r="Z13" s="5"/>
    </row>
    <row r="14" customFormat="false" ht="15.75" hidden="false" customHeight="true" outlineLevel="0" collapsed="false">
      <c r="A14" s="1"/>
      <c r="B14" s="6"/>
      <c r="C14" s="7" t="str">
        <f aca="true">IF(B14&lt;&gt;"",IF(C14&lt;&gt;"",C14,NOW()),"")</f>
        <v/>
      </c>
      <c r="D14" s="6"/>
      <c r="E14" s="7" t="str">
        <f aca="true">IF(D14&lt;&gt;"",IF(E14&lt;&gt;"",E14,NOW()),"")</f>
        <v/>
      </c>
      <c r="F14" s="6"/>
      <c r="G14" s="7" t="str">
        <f aca="true">IF(F14&lt;&gt;"",IF(G14&lt;&gt;"",G14,NOW()),"")</f>
        <v/>
      </c>
      <c r="H14" s="6"/>
      <c r="I14" s="7" t="str">
        <f aca="true">IF(H14&lt;&gt;"",IF(I14&lt;&gt;"",I14,NOW()),"")</f>
        <v/>
      </c>
      <c r="J14" s="6"/>
      <c r="K14" s="7" t="str">
        <f aca="true">IF(J14&lt;&gt;"",IF(K14&lt;&gt;"",K14,NOW()),"")</f>
        <v/>
      </c>
      <c r="L14" s="6"/>
      <c r="M14" s="7" t="str">
        <f aca="true">IF(L14&lt;&gt;"",IF(M14&lt;&gt;"",M14,NOW()),"")</f>
        <v/>
      </c>
      <c r="N14" s="6"/>
      <c r="O14" s="7" t="str">
        <f aca="true">IF(N14&lt;&gt;"",IF(O14&lt;&gt;"",O14,NOW()),"")</f>
        <v/>
      </c>
      <c r="P14" s="6"/>
      <c r="Q14" s="7" t="str">
        <f aca="true">IF(P14&lt;&gt;"",IF(Q14&lt;&gt;"",Q14,NOW()),"")</f>
        <v/>
      </c>
      <c r="R14" s="6"/>
      <c r="S14" s="7" t="str">
        <f aca="true">IF(R14&lt;&gt;"",IF(S14&lt;&gt;"",S14,NOW()),"")</f>
        <v/>
      </c>
      <c r="T14" s="6"/>
      <c r="U14" s="7" t="str">
        <f aca="true">IF(T14&lt;&gt;"",IF(U14&lt;&gt;"",U14,NOW()),"")</f>
        <v/>
      </c>
      <c r="V14" s="6"/>
      <c r="W14" s="7" t="str">
        <f aca="true">IF(V14&lt;&gt;"",IF(W14&lt;&gt;"",W14,NOW()),"")</f>
        <v/>
      </c>
      <c r="X14" s="6"/>
      <c r="Y14" s="7" t="str">
        <f aca="true">IF(X14&lt;&gt;"",IF(Y14&lt;&gt;"",Y14,NOW()),"")</f>
        <v/>
      </c>
      <c r="Z14" s="5"/>
    </row>
    <row r="15" customFormat="false" ht="15.75" hidden="false" customHeight="true" outlineLevel="0" collapsed="false">
      <c r="A15" s="1"/>
      <c r="B15" s="6"/>
      <c r="C15" s="7" t="str">
        <f aca="true">IF(B15&lt;&gt;"",IF(C15&lt;&gt;"",C15,NOW()),"")</f>
        <v/>
      </c>
      <c r="D15" s="6"/>
      <c r="E15" s="7" t="str">
        <f aca="true">IF(D15&lt;&gt;"",IF(E15&lt;&gt;"",E15,NOW()),"")</f>
        <v/>
      </c>
      <c r="F15" s="6"/>
      <c r="G15" s="7" t="str">
        <f aca="true">IF(F15&lt;&gt;"",IF(G15&lt;&gt;"",G15,NOW()),"")</f>
        <v/>
      </c>
      <c r="H15" s="6"/>
      <c r="I15" s="7" t="str">
        <f aca="true">IF(H15&lt;&gt;"",IF(I15&lt;&gt;"",I15,NOW()),"")</f>
        <v/>
      </c>
      <c r="J15" s="6"/>
      <c r="K15" s="7" t="str">
        <f aca="true">IF(J15&lt;&gt;"",IF(K15&lt;&gt;"",K15,NOW()),"")</f>
        <v/>
      </c>
      <c r="L15" s="6"/>
      <c r="M15" s="7" t="str">
        <f aca="true">IF(L15&lt;&gt;"",IF(M15&lt;&gt;"",M15,NOW()),"")</f>
        <v/>
      </c>
      <c r="N15" s="6"/>
      <c r="O15" s="7" t="str">
        <f aca="true">IF(N15&lt;&gt;"",IF(O15&lt;&gt;"",O15,NOW()),"")</f>
        <v/>
      </c>
      <c r="P15" s="6"/>
      <c r="Q15" s="7" t="str">
        <f aca="true">IF(P15&lt;&gt;"",IF(Q15&lt;&gt;"",Q15,NOW()),"")</f>
        <v/>
      </c>
      <c r="R15" s="6"/>
      <c r="S15" s="7" t="str">
        <f aca="true">IF(R15&lt;&gt;"",IF(S15&lt;&gt;"",S15,NOW()),"")</f>
        <v/>
      </c>
      <c r="T15" s="6"/>
      <c r="U15" s="7" t="str">
        <f aca="true">IF(T15&lt;&gt;"",IF(U15&lt;&gt;"",U15,NOW()),"")</f>
        <v/>
      </c>
      <c r="V15" s="6"/>
      <c r="W15" s="7" t="str">
        <f aca="true">IF(V15&lt;&gt;"",IF(W15&lt;&gt;"",W15,NOW()),"")</f>
        <v/>
      </c>
      <c r="X15" s="6"/>
      <c r="Y15" s="7" t="str">
        <f aca="true">IF(X15&lt;&gt;"",IF(Y15&lt;&gt;"",Y15,NOW()),"")</f>
        <v/>
      </c>
      <c r="Z15" s="5"/>
    </row>
    <row r="16" customFormat="false" ht="15.75" hidden="false" customHeight="true" outlineLevel="0" collapsed="false">
      <c r="A16" s="1"/>
      <c r="B16" s="8" t="n">
        <f aca="false">SUM(B2:B15)</f>
        <v>0</v>
      </c>
      <c r="C16" s="9"/>
      <c r="D16" s="8" t="n">
        <f aca="false">SUM(D2:D15)</f>
        <v>0</v>
      </c>
      <c r="E16" s="10"/>
      <c r="F16" s="8" t="n">
        <f aca="false">SUM(F2:F15)</f>
        <v>0</v>
      </c>
      <c r="G16" s="10"/>
      <c r="H16" s="8" t="n">
        <f aca="false">SUM(H2:H15)</f>
        <v>0</v>
      </c>
      <c r="I16" s="10"/>
      <c r="J16" s="8" t="n">
        <f aca="false">SUM(J2:J15)</f>
        <v>0</v>
      </c>
      <c r="K16" s="10"/>
      <c r="L16" s="8" t="n">
        <f aca="false">SUM(L2:L15)</f>
        <v>0</v>
      </c>
      <c r="M16" s="10"/>
      <c r="N16" s="8" t="n">
        <f aca="false">SUM(N2:N15)</f>
        <v>0</v>
      </c>
      <c r="O16" s="10"/>
      <c r="P16" s="8" t="n">
        <f aca="false">SUM(P2:P15)</f>
        <v>0</v>
      </c>
      <c r="Q16" s="10"/>
      <c r="R16" s="8" t="n">
        <f aca="false">SUM(R2:R15)</f>
        <v>0</v>
      </c>
      <c r="S16" s="10"/>
      <c r="T16" s="8" t="n">
        <f aca="false">SUM(T2:T15)</f>
        <v>0</v>
      </c>
      <c r="U16" s="10"/>
      <c r="V16" s="8" t="n">
        <f aca="false">SUM(V2:V15)</f>
        <v>0</v>
      </c>
      <c r="W16" s="10"/>
      <c r="X16" s="8" t="n">
        <f aca="false">SUM(X2:X15)</f>
        <v>0</v>
      </c>
      <c r="Y16" s="11"/>
      <c r="Z16" s="5"/>
    </row>
    <row r="17" customFormat="false" ht="15.75" hidden="false" customHeight="true" outlineLevel="0" collapsed="false">
      <c r="A17" s="1"/>
      <c r="B17" s="12"/>
      <c r="C17" s="7" t="str">
        <f aca="true">IF(B17&lt;&gt;"",IF(C17&lt;&gt;"",C17,NOW()),"")</f>
        <v/>
      </c>
      <c r="D17" s="12"/>
      <c r="E17" s="7" t="str">
        <f aca="true">IF(D17&lt;&gt;"",IF(E17&lt;&gt;"",E17,NOW()),"")</f>
        <v/>
      </c>
      <c r="F17" s="12"/>
      <c r="G17" s="7" t="str">
        <f aca="true">IF(F17&lt;&gt;"",IF(G17&lt;&gt;"",G17,NOW()),"")</f>
        <v/>
      </c>
      <c r="H17" s="12"/>
      <c r="I17" s="7" t="str">
        <f aca="true">IF(H17&lt;&gt;"",IF(I17&lt;&gt;"",I17,NOW()),"")</f>
        <v/>
      </c>
      <c r="J17" s="12"/>
      <c r="K17" s="7" t="str">
        <f aca="true">IF(J17&lt;&gt;"",IF(K17&lt;&gt;"",K17,NOW()),"")</f>
        <v/>
      </c>
      <c r="L17" s="12"/>
      <c r="M17" s="7" t="str">
        <f aca="true">IF(L17&lt;&gt;"",IF(M17&lt;&gt;"",M17,NOW()),"")</f>
        <v/>
      </c>
      <c r="N17" s="12"/>
      <c r="O17" s="7" t="str">
        <f aca="true">IF(N17&lt;&gt;"",IF(O17&lt;&gt;"",O17,NOW()),"")</f>
        <v/>
      </c>
      <c r="P17" s="12"/>
      <c r="Q17" s="7" t="str">
        <f aca="true">IF(P17&lt;&gt;"",IF(Q17&lt;&gt;"",Q17,NOW()),"")</f>
        <v/>
      </c>
      <c r="R17" s="12"/>
      <c r="S17" s="7" t="str">
        <f aca="true">IF(R17&lt;&gt;"",IF(S17&lt;&gt;"",S17,NOW()),"")</f>
        <v/>
      </c>
      <c r="T17" s="12"/>
      <c r="U17" s="7" t="str">
        <f aca="true">IF(T17&lt;&gt;"",IF(U17&lt;&gt;"",U17,NOW()),"")</f>
        <v/>
      </c>
      <c r="V17" s="12"/>
      <c r="W17" s="7" t="str">
        <f aca="true">IF(V17&lt;&gt;"",IF(W17&lt;&gt;"",W17,NOW()),"")</f>
        <v/>
      </c>
      <c r="X17" s="12"/>
      <c r="Y17" s="13" t="str">
        <f aca="true">IF(X17&lt;&gt;"",IF(Y17&lt;&gt;"",Y17,NOW()),"")</f>
        <v/>
      </c>
      <c r="Z17" s="5"/>
    </row>
    <row r="18" customFormat="false" ht="15.75" hidden="false" customHeight="true" outlineLevel="0" collapsed="false">
      <c r="A18" s="1"/>
      <c r="B18" s="14" t="n">
        <f aca="false">B16+B17</f>
        <v>0</v>
      </c>
      <c r="C18" s="10"/>
      <c r="D18" s="14" t="n">
        <f aca="false">D16+D17</f>
        <v>0</v>
      </c>
      <c r="E18" s="10"/>
      <c r="F18" s="14" t="n">
        <f aca="false">F16+F17</f>
        <v>0</v>
      </c>
      <c r="G18" s="10"/>
      <c r="H18" s="14" t="n">
        <f aca="false">H16+H17</f>
        <v>0</v>
      </c>
      <c r="I18" s="10"/>
      <c r="J18" s="14" t="n">
        <f aca="false">J16+J17</f>
        <v>0</v>
      </c>
      <c r="K18" s="10"/>
      <c r="L18" s="14" t="n">
        <f aca="false">L16+L17</f>
        <v>0</v>
      </c>
      <c r="M18" s="10"/>
      <c r="N18" s="14" t="n">
        <f aca="false">N16+N17</f>
        <v>0</v>
      </c>
      <c r="O18" s="10"/>
      <c r="P18" s="14" t="n">
        <f aca="false">P16+P17</f>
        <v>0</v>
      </c>
      <c r="Q18" s="10"/>
      <c r="R18" s="14" t="n">
        <f aca="false">R16+R17</f>
        <v>0</v>
      </c>
      <c r="S18" s="10"/>
      <c r="T18" s="14" t="n">
        <f aca="false">T16+T17</f>
        <v>0</v>
      </c>
      <c r="U18" s="10"/>
      <c r="V18" s="14" t="n">
        <f aca="false">V16+V17</f>
        <v>0</v>
      </c>
      <c r="W18" s="10"/>
      <c r="X18" s="14" t="n">
        <f aca="false">X16+X17</f>
        <v>0</v>
      </c>
      <c r="Y18" s="11"/>
      <c r="Z18" s="5"/>
    </row>
    <row r="19" customFormat="false" ht="15.75" hidden="false" customHeight="true" outlineLevel="0" collapsed="false">
      <c r="A19" s="1"/>
      <c r="B19" s="15"/>
      <c r="C19" s="10"/>
      <c r="D19" s="15"/>
      <c r="E19" s="10"/>
      <c r="F19" s="15"/>
      <c r="G19" s="10"/>
      <c r="H19" s="15"/>
      <c r="I19" s="10"/>
      <c r="J19" s="15"/>
      <c r="K19" s="10"/>
      <c r="L19" s="15"/>
      <c r="M19" s="10"/>
      <c r="N19" s="15"/>
      <c r="O19" s="10"/>
      <c r="P19" s="15"/>
      <c r="Q19" s="10"/>
      <c r="R19" s="15"/>
      <c r="S19" s="10"/>
      <c r="T19" s="15"/>
      <c r="U19" s="10"/>
      <c r="V19" s="15"/>
      <c r="W19" s="10"/>
      <c r="X19" s="15"/>
      <c r="Y19" s="11"/>
      <c r="Z19" s="5"/>
    </row>
    <row r="20" customFormat="false" ht="15.75" hidden="false" customHeight="true" outlineLevel="0" collapsed="false">
      <c r="A20" s="1"/>
      <c r="B20" s="16"/>
      <c r="C20" s="10"/>
      <c r="D20" s="16"/>
      <c r="E20" s="10"/>
      <c r="F20" s="16"/>
      <c r="G20" s="10"/>
      <c r="H20" s="16"/>
      <c r="I20" s="10"/>
      <c r="J20" s="16"/>
      <c r="K20" s="10"/>
      <c r="L20" s="16"/>
      <c r="M20" s="10"/>
      <c r="N20" s="16"/>
      <c r="O20" s="10"/>
      <c r="P20" s="16"/>
      <c r="Q20" s="10"/>
      <c r="R20" s="16"/>
      <c r="S20" s="10"/>
      <c r="T20" s="16"/>
      <c r="U20" s="10"/>
      <c r="V20" s="16"/>
      <c r="W20" s="10"/>
      <c r="X20" s="16"/>
      <c r="Y20" s="11"/>
      <c r="Z20" s="5"/>
    </row>
    <row r="21" customFormat="false" ht="15.75" hidden="false" customHeight="true" outlineLevel="0" collapsed="false">
      <c r="A21" s="1"/>
      <c r="B21" s="17" t="n">
        <f aca="false">B18+B19+B20</f>
        <v>0</v>
      </c>
      <c r="C21" s="18"/>
      <c r="D21" s="17" t="n">
        <f aca="false">D18+D19+D20</f>
        <v>0</v>
      </c>
      <c r="E21" s="18"/>
      <c r="F21" s="17" t="n">
        <f aca="false">F18+F19+F20</f>
        <v>0</v>
      </c>
      <c r="G21" s="18"/>
      <c r="H21" s="17" t="n">
        <f aca="false">H18+H19+H20</f>
        <v>0</v>
      </c>
      <c r="I21" s="18"/>
      <c r="J21" s="17" t="n">
        <f aca="false">J18+J19+J20</f>
        <v>0</v>
      </c>
      <c r="K21" s="18"/>
      <c r="L21" s="17" t="n">
        <f aca="false">L18+L19+L20</f>
        <v>0</v>
      </c>
      <c r="M21" s="18"/>
      <c r="N21" s="17" t="n">
        <f aca="false">N18+N19+N20</f>
        <v>0</v>
      </c>
      <c r="O21" s="18"/>
      <c r="P21" s="17" t="n">
        <f aca="false">P18+P19+P20</f>
        <v>0</v>
      </c>
      <c r="Q21" s="18"/>
      <c r="R21" s="17" t="n">
        <f aca="false">R18+R19+R20</f>
        <v>0</v>
      </c>
      <c r="S21" s="18"/>
      <c r="T21" s="17" t="n">
        <f aca="false">T18+T19+T20</f>
        <v>0</v>
      </c>
      <c r="U21" s="18"/>
      <c r="V21" s="17" t="n">
        <f aca="false">V18+V19+V20</f>
        <v>0</v>
      </c>
      <c r="W21" s="18"/>
      <c r="X21" s="17" t="n">
        <f aca="false">X18+X19+X20</f>
        <v>0</v>
      </c>
      <c r="Y21" s="19"/>
      <c r="Z21" s="5"/>
    </row>
    <row r="22" customFormat="false" ht="15.75" hidden="false" customHeight="true" outlineLevel="0" collapsed="false">
      <c r="A22" s="20"/>
      <c r="B22" s="21" t="n">
        <f aca="false">B1</f>
        <v>0</v>
      </c>
      <c r="C22" s="22"/>
      <c r="D22" s="22" t="n">
        <f aca="false">D1</f>
        <v>0</v>
      </c>
      <c r="E22" s="22"/>
      <c r="F22" s="22" t="n">
        <f aca="false">F1</f>
        <v>0</v>
      </c>
      <c r="G22" s="22"/>
      <c r="H22" s="22" t="n">
        <f aca="false">H1</f>
        <v>0</v>
      </c>
      <c r="I22" s="22"/>
      <c r="J22" s="22" t="n">
        <f aca="false">J1</f>
        <v>0</v>
      </c>
      <c r="K22" s="22"/>
      <c r="L22" s="22" t="n">
        <f aca="false">L1</f>
        <v>0</v>
      </c>
      <c r="M22" s="22"/>
      <c r="N22" s="22" t="n">
        <f aca="false">N1</f>
        <v>0</v>
      </c>
      <c r="O22" s="22"/>
      <c r="P22" s="22" t="n">
        <f aca="false">P1</f>
        <v>0</v>
      </c>
      <c r="Q22" s="22"/>
      <c r="R22" s="22" t="n">
        <f aca="false">R1</f>
        <v>0</v>
      </c>
      <c r="S22" s="22"/>
      <c r="T22" s="22" t="n">
        <f aca="false">T1</f>
        <v>0</v>
      </c>
      <c r="U22" s="22"/>
      <c r="V22" s="22" t="n">
        <f aca="false">V1</f>
        <v>0</v>
      </c>
      <c r="W22" s="22"/>
      <c r="X22" s="22" t="n">
        <f aca="false">X1</f>
        <v>0</v>
      </c>
      <c r="Y22" s="23"/>
      <c r="Z22" s="1"/>
    </row>
    <row r="23" customFormat="false" ht="15.75" hidden="false" customHeight="true" outlineLevel="0" collapsed="false">
      <c r="A23" s="24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1"/>
    </row>
    <row r="24" customFormat="false" ht="15.75" hidden="false" customHeight="true" outlineLevel="0" collapsed="false">
      <c r="A24" s="1"/>
      <c r="B24" s="26"/>
      <c r="C24" s="27" t="s">
        <v>13</v>
      </c>
      <c r="D24" s="28"/>
      <c r="E24" s="27" t="s">
        <v>14</v>
      </c>
      <c r="F24" s="28"/>
      <c r="G24" s="27" t="s">
        <v>15</v>
      </c>
      <c r="H24" s="28"/>
      <c r="I24" s="27" t="s">
        <v>16</v>
      </c>
      <c r="J24" s="28"/>
      <c r="K24" s="27" t="s">
        <v>17</v>
      </c>
      <c r="L24" s="28"/>
      <c r="M24" s="27" t="s">
        <v>18</v>
      </c>
      <c r="N24" s="28"/>
      <c r="O24" s="27" t="s">
        <v>19</v>
      </c>
      <c r="P24" s="28"/>
      <c r="Q24" s="27" t="s">
        <v>20</v>
      </c>
      <c r="R24" s="28"/>
      <c r="S24" s="27" t="s">
        <v>21</v>
      </c>
      <c r="T24" s="28"/>
      <c r="U24" s="27" t="s">
        <v>22</v>
      </c>
      <c r="V24" s="28"/>
      <c r="W24" s="27" t="s">
        <v>23</v>
      </c>
      <c r="X24" s="28"/>
      <c r="Y24" s="27" t="s">
        <v>24</v>
      </c>
      <c r="Z24" s="5"/>
    </row>
    <row r="25" customFormat="false" ht="15.75" hidden="false" customHeight="true" outlineLevel="0" collapsed="false">
      <c r="A25" s="1"/>
      <c r="B25" s="6"/>
      <c r="C25" s="7" t="str">
        <f aca="true">IF(B25&lt;&gt;"",IF(C25&lt;&gt;"",C25,NOW()),"")</f>
        <v/>
      </c>
      <c r="D25" s="29"/>
      <c r="E25" s="7" t="str">
        <f aca="true">IF(D25&lt;&gt;"",IF(E25&lt;&gt;"",E25,NOW()),"")</f>
        <v/>
      </c>
      <c r="F25" s="29"/>
      <c r="G25" s="7" t="str">
        <f aca="true">IF(F25&lt;&gt;"",IF(G25&lt;&gt;"",G25,NOW()),"")</f>
        <v/>
      </c>
      <c r="H25" s="29"/>
      <c r="I25" s="7" t="str">
        <f aca="true">IF(H25&lt;&gt;"",IF(I25&lt;&gt;"",I25,NOW()),"")</f>
        <v/>
      </c>
      <c r="J25" s="29"/>
      <c r="K25" s="7" t="str">
        <f aca="true">IF(J25&lt;&gt;"",IF(K25&lt;&gt;"",K25,NOW()),"")</f>
        <v/>
      </c>
      <c r="L25" s="29"/>
      <c r="M25" s="7" t="str">
        <f aca="true">IF(L25&lt;&gt;"",IF(M25&lt;&gt;"",M25,NOW()),"")</f>
        <v/>
      </c>
      <c r="N25" s="29"/>
      <c r="O25" s="7" t="str">
        <f aca="true">IF(N25&lt;&gt;"",IF(O25&lt;&gt;"",O25,NOW()),"")</f>
        <v/>
      </c>
      <c r="P25" s="29"/>
      <c r="Q25" s="7" t="str">
        <f aca="true">IF(P25&lt;&gt;"",IF(Q25&lt;&gt;"",Q25,NOW()),"")</f>
        <v/>
      </c>
      <c r="R25" s="29"/>
      <c r="S25" s="7" t="str">
        <f aca="true">IF(R25&lt;&gt;"",IF(S25&lt;&gt;"",S25,NOW()),"")</f>
        <v/>
      </c>
      <c r="T25" s="29"/>
      <c r="U25" s="7" t="str">
        <f aca="true">IF(T25&lt;&gt;"",IF(U25&lt;&gt;"",U25,NOW()),"")</f>
        <v/>
      </c>
      <c r="V25" s="29"/>
      <c r="W25" s="7" t="str">
        <f aca="true">IF(V25&lt;&gt;"",IF(W25&lt;&gt;"",W25,NOW()),"")</f>
        <v/>
      </c>
      <c r="X25" s="29"/>
      <c r="Y25" s="7" t="str">
        <f aca="true">IF(X25&lt;&gt;"",IF(Y25&lt;&gt;"",Y25,NOW()),"")</f>
        <v/>
      </c>
      <c r="Z25" s="5"/>
    </row>
    <row r="26" customFormat="false" ht="15.75" hidden="false" customHeight="true" outlineLevel="0" collapsed="false">
      <c r="A26" s="1"/>
      <c r="B26" s="6"/>
      <c r="C26" s="7" t="str">
        <f aca="true">IF(B26&lt;&gt;"",IF(C26&lt;&gt;"",C26,NOW()),"")</f>
        <v/>
      </c>
      <c r="D26" s="29"/>
      <c r="E26" s="7" t="str">
        <f aca="true">IF(D26&lt;&gt;"",IF(E26&lt;&gt;"",E26,NOW()),"")</f>
        <v/>
      </c>
      <c r="F26" s="29"/>
      <c r="G26" s="7" t="str">
        <f aca="true">IF(F26&lt;&gt;"",IF(G26&lt;&gt;"",G26,NOW()),"")</f>
        <v/>
      </c>
      <c r="H26" s="29"/>
      <c r="I26" s="7" t="str">
        <f aca="true">IF(H26&lt;&gt;"",IF(I26&lt;&gt;"",I26,NOW()),"")</f>
        <v/>
      </c>
      <c r="J26" s="29"/>
      <c r="K26" s="7" t="str">
        <f aca="true">IF(J26&lt;&gt;"",IF(K26&lt;&gt;"",K26,NOW()),"")</f>
        <v/>
      </c>
      <c r="L26" s="29"/>
      <c r="M26" s="7" t="str">
        <f aca="true">IF(L26&lt;&gt;"",IF(M26&lt;&gt;"",M26,NOW()),"")</f>
        <v/>
      </c>
      <c r="N26" s="29"/>
      <c r="O26" s="7" t="str">
        <f aca="true">IF(N26&lt;&gt;"",IF(O26&lt;&gt;"",O26,NOW()),"")</f>
        <v/>
      </c>
      <c r="P26" s="29"/>
      <c r="Q26" s="7" t="str">
        <f aca="true">IF(P26&lt;&gt;"",IF(Q26&lt;&gt;"",Q26,NOW()),"")</f>
        <v/>
      </c>
      <c r="R26" s="29"/>
      <c r="S26" s="7" t="str">
        <f aca="true">IF(R26&lt;&gt;"",IF(S26&lt;&gt;"",S26,NOW()),"")</f>
        <v/>
      </c>
      <c r="T26" s="29"/>
      <c r="U26" s="7" t="str">
        <f aca="true">IF(T26&lt;&gt;"",IF(U26&lt;&gt;"",U26,NOW()),"")</f>
        <v/>
      </c>
      <c r="V26" s="29"/>
      <c r="W26" s="7" t="str">
        <f aca="true">IF(V26&lt;&gt;"",IF(W26&lt;&gt;"",W26,NOW()),"")</f>
        <v/>
      </c>
      <c r="X26" s="29"/>
      <c r="Y26" s="7" t="str">
        <f aca="true">IF(X26&lt;&gt;"",IF(Y26&lt;&gt;"",Y26,NOW()),"")</f>
        <v/>
      </c>
      <c r="Z26" s="5"/>
    </row>
    <row r="27" customFormat="false" ht="15.75" hidden="false" customHeight="true" outlineLevel="0" collapsed="false">
      <c r="A27" s="1"/>
      <c r="B27" s="6"/>
      <c r="C27" s="7" t="str">
        <f aca="true">IF(B27&lt;&gt;"",IF(C27&lt;&gt;"",C27,NOW()),"")</f>
        <v/>
      </c>
      <c r="D27" s="29"/>
      <c r="E27" s="7" t="str">
        <f aca="true">IF(D27&lt;&gt;"",IF(E27&lt;&gt;"",E27,NOW()),"")</f>
        <v/>
      </c>
      <c r="F27" s="29"/>
      <c r="G27" s="7" t="str">
        <f aca="true">IF(F27&lt;&gt;"",IF(G27&lt;&gt;"",G27,NOW()),"")</f>
        <v/>
      </c>
      <c r="H27" s="29"/>
      <c r="I27" s="7" t="str">
        <f aca="true">IF(H27&lt;&gt;"",IF(I27&lt;&gt;"",I27,NOW()),"")</f>
        <v/>
      </c>
      <c r="J27" s="29"/>
      <c r="K27" s="7" t="str">
        <f aca="true">IF(J27&lt;&gt;"",IF(K27&lt;&gt;"",K27,NOW()),"")</f>
        <v/>
      </c>
      <c r="L27" s="29"/>
      <c r="M27" s="7" t="str">
        <f aca="true">IF(L27&lt;&gt;"",IF(M27&lt;&gt;"",M27,NOW()),"")</f>
        <v/>
      </c>
      <c r="N27" s="29"/>
      <c r="O27" s="7" t="str">
        <f aca="true">IF(N27&lt;&gt;"",IF(O27&lt;&gt;"",O27,NOW()),"")</f>
        <v/>
      </c>
      <c r="P27" s="29"/>
      <c r="Q27" s="7" t="str">
        <f aca="true">IF(P27&lt;&gt;"",IF(Q27&lt;&gt;"",Q27,NOW()),"")</f>
        <v/>
      </c>
      <c r="R27" s="29"/>
      <c r="S27" s="7" t="str">
        <f aca="true">IF(R27&lt;&gt;"",IF(S27&lt;&gt;"",S27,NOW()),"")</f>
        <v/>
      </c>
      <c r="T27" s="29"/>
      <c r="U27" s="7" t="str">
        <f aca="true">IF(T27&lt;&gt;"",IF(U27&lt;&gt;"",U27,NOW()),"")</f>
        <v/>
      </c>
      <c r="V27" s="29"/>
      <c r="W27" s="7" t="str">
        <f aca="true">IF(V27&lt;&gt;"",IF(W27&lt;&gt;"",W27,NOW()),"")</f>
        <v/>
      </c>
      <c r="X27" s="29"/>
      <c r="Y27" s="7" t="str">
        <f aca="true">IF(X27&lt;&gt;"",IF(Y27&lt;&gt;"",Y27,NOW()),"")</f>
        <v/>
      </c>
      <c r="Z27" s="5"/>
    </row>
    <row r="28" customFormat="false" ht="15.75" hidden="false" customHeight="true" outlineLevel="0" collapsed="false">
      <c r="A28" s="1"/>
      <c r="B28" s="6"/>
      <c r="C28" s="7" t="str">
        <f aca="true">IF(B28&lt;&gt;"",IF(C28&lt;&gt;"",C28,NOW()),"")</f>
        <v/>
      </c>
      <c r="D28" s="29"/>
      <c r="E28" s="7" t="str">
        <f aca="true">IF(D28&lt;&gt;"",IF(E28&lt;&gt;"",E28,NOW()),"")</f>
        <v/>
      </c>
      <c r="F28" s="29"/>
      <c r="G28" s="7" t="str">
        <f aca="true">IF(F28&lt;&gt;"",IF(G28&lt;&gt;"",G28,NOW()),"")</f>
        <v/>
      </c>
      <c r="H28" s="29"/>
      <c r="I28" s="7" t="str">
        <f aca="true">IF(H28&lt;&gt;"",IF(I28&lt;&gt;"",I28,NOW()),"")</f>
        <v/>
      </c>
      <c r="J28" s="29"/>
      <c r="K28" s="7" t="str">
        <f aca="true">IF(J28&lt;&gt;"",IF(K28&lt;&gt;"",K28,NOW()),"")</f>
        <v/>
      </c>
      <c r="L28" s="29"/>
      <c r="M28" s="7" t="str">
        <f aca="true">IF(L28&lt;&gt;"",IF(M28&lt;&gt;"",M28,NOW()),"")</f>
        <v/>
      </c>
      <c r="N28" s="29"/>
      <c r="O28" s="7" t="str">
        <f aca="true">IF(N28&lt;&gt;"",IF(O28&lt;&gt;"",O28,NOW()),"")</f>
        <v/>
      </c>
      <c r="P28" s="29"/>
      <c r="Q28" s="7" t="str">
        <f aca="true">IF(P28&lt;&gt;"",IF(Q28&lt;&gt;"",Q28,NOW()),"")</f>
        <v/>
      </c>
      <c r="R28" s="29"/>
      <c r="S28" s="7" t="str">
        <f aca="true">IF(R28&lt;&gt;"",IF(S28&lt;&gt;"",S28,NOW()),"")</f>
        <v/>
      </c>
      <c r="T28" s="29"/>
      <c r="U28" s="7" t="str">
        <f aca="true">IF(T28&lt;&gt;"",IF(U28&lt;&gt;"",U28,NOW()),"")</f>
        <v/>
      </c>
      <c r="V28" s="29"/>
      <c r="W28" s="7" t="str">
        <f aca="true">IF(V28&lt;&gt;"",IF(W28&lt;&gt;"",W28,NOW()),"")</f>
        <v/>
      </c>
      <c r="X28" s="29"/>
      <c r="Y28" s="7" t="str">
        <f aca="true">IF(X28&lt;&gt;"",IF(Y28&lt;&gt;"",Y28,NOW()),"")</f>
        <v/>
      </c>
      <c r="Z28" s="5"/>
    </row>
    <row r="29" customFormat="false" ht="15.75" hidden="false" customHeight="true" outlineLevel="0" collapsed="false">
      <c r="A29" s="1"/>
      <c r="B29" s="6"/>
      <c r="C29" s="7" t="str">
        <f aca="true">IF(B29&lt;&gt;"",IF(C29&lt;&gt;"",C29,NOW()),"")</f>
        <v/>
      </c>
      <c r="D29" s="29"/>
      <c r="E29" s="7" t="str">
        <f aca="true">IF(D29&lt;&gt;"",IF(E29&lt;&gt;"",E29,NOW()),"")</f>
        <v/>
      </c>
      <c r="F29" s="29"/>
      <c r="G29" s="7" t="str">
        <f aca="true">IF(F29&lt;&gt;"",IF(G29&lt;&gt;"",G29,NOW()),"")</f>
        <v/>
      </c>
      <c r="H29" s="29"/>
      <c r="I29" s="7" t="str">
        <f aca="true">IF(H29&lt;&gt;"",IF(I29&lt;&gt;"",I29,NOW()),"")</f>
        <v/>
      </c>
      <c r="J29" s="29"/>
      <c r="K29" s="7" t="str">
        <f aca="true">IF(J29&lt;&gt;"",IF(K29&lt;&gt;"",K29,NOW()),"")</f>
        <v/>
      </c>
      <c r="L29" s="29"/>
      <c r="M29" s="7" t="str">
        <f aca="true">IF(L29&lt;&gt;"",IF(M29&lt;&gt;"",M29,NOW()),"")</f>
        <v/>
      </c>
      <c r="N29" s="29"/>
      <c r="O29" s="7" t="str">
        <f aca="true">IF(N29&lt;&gt;"",IF(O29&lt;&gt;"",O29,NOW()),"")</f>
        <v/>
      </c>
      <c r="P29" s="29"/>
      <c r="Q29" s="7" t="str">
        <f aca="true">IF(P29&lt;&gt;"",IF(Q29&lt;&gt;"",Q29,NOW()),"")</f>
        <v/>
      </c>
      <c r="R29" s="29"/>
      <c r="S29" s="7" t="str">
        <f aca="true">IF(R29&lt;&gt;"",IF(S29&lt;&gt;"",S29,NOW()),"")</f>
        <v/>
      </c>
      <c r="T29" s="29"/>
      <c r="U29" s="7" t="str">
        <f aca="true">IF(T29&lt;&gt;"",IF(U29&lt;&gt;"",U29,NOW()),"")</f>
        <v/>
      </c>
      <c r="V29" s="29"/>
      <c r="W29" s="7" t="str">
        <f aca="true">IF(V29&lt;&gt;"",IF(W29&lt;&gt;"",W29,NOW()),"")</f>
        <v/>
      </c>
      <c r="X29" s="29"/>
      <c r="Y29" s="7" t="str">
        <f aca="true">IF(X29&lt;&gt;"",IF(Y29&lt;&gt;"",Y29,NOW()),"")</f>
        <v/>
      </c>
      <c r="Z29" s="5"/>
    </row>
    <row r="30" customFormat="false" ht="15.75" hidden="false" customHeight="true" outlineLevel="0" collapsed="false">
      <c r="A30" s="1"/>
      <c r="B30" s="6"/>
      <c r="C30" s="7" t="str">
        <f aca="true">IF(B30&lt;&gt;"",IF(C30&lt;&gt;"",C30,NOW()),"")</f>
        <v/>
      </c>
      <c r="D30" s="29"/>
      <c r="E30" s="7" t="str">
        <f aca="true">IF(D30&lt;&gt;"",IF(E30&lt;&gt;"",E30,NOW()),"")</f>
        <v/>
      </c>
      <c r="F30" s="29"/>
      <c r="G30" s="7" t="str">
        <f aca="true">IF(F30&lt;&gt;"",IF(G30&lt;&gt;"",G30,NOW()),"")</f>
        <v/>
      </c>
      <c r="H30" s="29"/>
      <c r="I30" s="7" t="str">
        <f aca="true">IF(H30&lt;&gt;"",IF(I30&lt;&gt;"",I30,NOW()),"")</f>
        <v/>
      </c>
      <c r="J30" s="29"/>
      <c r="K30" s="7" t="str">
        <f aca="true">IF(J30&lt;&gt;"",IF(K30&lt;&gt;"",K30,NOW()),"")</f>
        <v/>
      </c>
      <c r="L30" s="29"/>
      <c r="M30" s="7" t="str">
        <f aca="true">IF(L30&lt;&gt;"",IF(M30&lt;&gt;"",M30,NOW()),"")</f>
        <v/>
      </c>
      <c r="N30" s="29"/>
      <c r="O30" s="7" t="str">
        <f aca="true">IF(N30&lt;&gt;"",IF(O30&lt;&gt;"",O30,NOW()),"")</f>
        <v/>
      </c>
      <c r="P30" s="29"/>
      <c r="Q30" s="7" t="str">
        <f aca="true">IF(P30&lt;&gt;"",IF(Q30&lt;&gt;"",Q30,NOW()),"")</f>
        <v/>
      </c>
      <c r="R30" s="29"/>
      <c r="S30" s="7" t="str">
        <f aca="true">IF(R30&lt;&gt;"",IF(S30&lt;&gt;"",S30,NOW()),"")</f>
        <v/>
      </c>
      <c r="T30" s="29"/>
      <c r="U30" s="7" t="str">
        <f aca="true">IF(T30&lt;&gt;"",IF(U30&lt;&gt;"",U30,NOW()),"")</f>
        <v/>
      </c>
      <c r="V30" s="29"/>
      <c r="W30" s="7" t="str">
        <f aca="true">IF(V30&lt;&gt;"",IF(W30&lt;&gt;"",W30,NOW()),"")</f>
        <v/>
      </c>
      <c r="X30" s="29"/>
      <c r="Y30" s="7" t="str">
        <f aca="true">IF(X30&lt;&gt;"",IF(Y30&lt;&gt;"",Y30,NOW()),"")</f>
        <v/>
      </c>
      <c r="Z30" s="5"/>
    </row>
    <row r="31" customFormat="false" ht="15.75" hidden="false" customHeight="true" outlineLevel="0" collapsed="false">
      <c r="A31" s="1"/>
      <c r="B31" s="6"/>
      <c r="C31" s="7" t="str">
        <f aca="true">IF(B31&lt;&gt;"",IF(C31&lt;&gt;"",C31,NOW()),"")</f>
        <v/>
      </c>
      <c r="D31" s="29"/>
      <c r="E31" s="7" t="str">
        <f aca="true">IF(D31&lt;&gt;"",IF(E31&lt;&gt;"",E31,NOW()),"")</f>
        <v/>
      </c>
      <c r="F31" s="29"/>
      <c r="G31" s="7" t="str">
        <f aca="true">IF(F31&lt;&gt;"",IF(G31&lt;&gt;"",G31,NOW()),"")</f>
        <v/>
      </c>
      <c r="H31" s="29"/>
      <c r="I31" s="7" t="str">
        <f aca="true">IF(H31&lt;&gt;"",IF(I31&lt;&gt;"",I31,NOW()),"")</f>
        <v/>
      </c>
      <c r="J31" s="29"/>
      <c r="K31" s="7" t="str">
        <f aca="true">IF(J31&lt;&gt;"",IF(K31&lt;&gt;"",K31,NOW()),"")</f>
        <v/>
      </c>
      <c r="L31" s="29"/>
      <c r="M31" s="7" t="str">
        <f aca="true">IF(L31&lt;&gt;"",IF(M31&lt;&gt;"",M31,NOW()),"")</f>
        <v/>
      </c>
      <c r="N31" s="29"/>
      <c r="O31" s="7" t="str">
        <f aca="true">IF(N31&lt;&gt;"",IF(O31&lt;&gt;"",O31,NOW()),"")</f>
        <v/>
      </c>
      <c r="P31" s="29"/>
      <c r="Q31" s="7" t="str">
        <f aca="true">IF(P31&lt;&gt;"",IF(Q31&lt;&gt;"",Q31,NOW()),"")</f>
        <v/>
      </c>
      <c r="R31" s="29"/>
      <c r="S31" s="7" t="str">
        <f aca="true">IF(R31&lt;&gt;"",IF(S31&lt;&gt;"",S31,NOW()),"")</f>
        <v/>
      </c>
      <c r="T31" s="29"/>
      <c r="U31" s="7" t="str">
        <f aca="true">IF(T31&lt;&gt;"",IF(U31&lt;&gt;"",U31,NOW()),"")</f>
        <v/>
      </c>
      <c r="V31" s="29"/>
      <c r="W31" s="7" t="str">
        <f aca="true">IF(V31&lt;&gt;"",IF(W31&lt;&gt;"",W31,NOW()),"")</f>
        <v/>
      </c>
      <c r="X31" s="29"/>
      <c r="Y31" s="7" t="str">
        <f aca="true">IF(X31&lt;&gt;"",IF(Y31&lt;&gt;"",Y31,NOW()),"")</f>
        <v/>
      </c>
      <c r="Z31" s="5"/>
    </row>
    <row r="32" customFormat="false" ht="15.75" hidden="false" customHeight="true" outlineLevel="0" collapsed="false">
      <c r="A32" s="1"/>
      <c r="B32" s="6"/>
      <c r="C32" s="7" t="str">
        <f aca="true">IF(B32&lt;&gt;"",IF(C32&lt;&gt;"",C32,NOW()),"")</f>
        <v/>
      </c>
      <c r="D32" s="29"/>
      <c r="E32" s="7" t="str">
        <f aca="true">IF(D32&lt;&gt;"",IF(E32&lt;&gt;"",E32,NOW()),"")</f>
        <v/>
      </c>
      <c r="F32" s="29"/>
      <c r="G32" s="7" t="str">
        <f aca="true">IF(F32&lt;&gt;"",IF(G32&lt;&gt;"",G32,NOW()),"")</f>
        <v/>
      </c>
      <c r="H32" s="29"/>
      <c r="I32" s="7" t="str">
        <f aca="true">IF(H32&lt;&gt;"",IF(I32&lt;&gt;"",I32,NOW()),"")</f>
        <v/>
      </c>
      <c r="J32" s="29"/>
      <c r="K32" s="7" t="str">
        <f aca="true">IF(J32&lt;&gt;"",IF(K32&lt;&gt;"",K32,NOW()),"")</f>
        <v/>
      </c>
      <c r="L32" s="29"/>
      <c r="M32" s="7" t="str">
        <f aca="true">IF(L32&lt;&gt;"",IF(M32&lt;&gt;"",M32,NOW()),"")</f>
        <v/>
      </c>
      <c r="N32" s="29"/>
      <c r="O32" s="7" t="str">
        <f aca="true">IF(N32&lt;&gt;"",IF(O32&lt;&gt;"",O32,NOW()),"")</f>
        <v/>
      </c>
      <c r="P32" s="29"/>
      <c r="Q32" s="7" t="str">
        <f aca="true">IF(P32&lt;&gt;"",IF(Q32&lt;&gt;"",Q32,NOW()),"")</f>
        <v/>
      </c>
      <c r="R32" s="29"/>
      <c r="S32" s="7" t="str">
        <f aca="true">IF(R32&lt;&gt;"",IF(S32&lt;&gt;"",S32,NOW()),"")</f>
        <v/>
      </c>
      <c r="T32" s="29"/>
      <c r="U32" s="30" t="str">
        <f aca="true">IF(T32&lt;&gt;"",IF(U32&lt;&gt;"",U32,NOW()),"")</f>
        <v/>
      </c>
      <c r="V32" s="29"/>
      <c r="W32" s="7" t="str">
        <f aca="true">IF(V32&lt;&gt;"",IF(W32&lt;&gt;"",W32,NOW()),"")</f>
        <v/>
      </c>
      <c r="X32" s="29"/>
      <c r="Y32" s="7" t="str">
        <f aca="true">IF(X32&lt;&gt;"",IF(Y32&lt;&gt;"",Y32,NOW()),"")</f>
        <v/>
      </c>
      <c r="Z32" s="5"/>
    </row>
    <row r="33" customFormat="false" ht="15.75" hidden="false" customHeight="true" outlineLevel="0" collapsed="false">
      <c r="A33" s="1"/>
      <c r="B33" s="6"/>
      <c r="C33" s="7" t="str">
        <f aca="true">IF(B33&lt;&gt;"",IF(C33&lt;&gt;"",C33,NOW()),"")</f>
        <v/>
      </c>
      <c r="D33" s="29"/>
      <c r="E33" s="7" t="str">
        <f aca="true">IF(D33&lt;&gt;"",IF(E33&lt;&gt;"",E33,NOW()),"")</f>
        <v/>
      </c>
      <c r="F33" s="29"/>
      <c r="G33" s="7" t="str">
        <f aca="true">IF(F33&lt;&gt;"",IF(G33&lt;&gt;"",G33,NOW()),"")</f>
        <v/>
      </c>
      <c r="H33" s="29"/>
      <c r="I33" s="7" t="str">
        <f aca="true">IF(H33&lt;&gt;"",IF(I33&lt;&gt;"",I33,NOW()),"")</f>
        <v/>
      </c>
      <c r="J33" s="29"/>
      <c r="K33" s="7" t="str">
        <f aca="true">IF(J33&lt;&gt;"",IF(K33&lt;&gt;"",K33,NOW()),"")</f>
        <v/>
      </c>
      <c r="L33" s="29"/>
      <c r="M33" s="7" t="str">
        <f aca="true">IF(L33&lt;&gt;"",IF(M33&lt;&gt;"",M33,NOW()),"")</f>
        <v/>
      </c>
      <c r="N33" s="29"/>
      <c r="O33" s="7" t="str">
        <f aca="true">IF(N33&lt;&gt;"",IF(O33&lt;&gt;"",O33,NOW()),"")</f>
        <v/>
      </c>
      <c r="P33" s="29"/>
      <c r="Q33" s="7" t="str">
        <f aca="true">IF(P33&lt;&gt;"",IF(Q33&lt;&gt;"",Q33,NOW()),"")</f>
        <v/>
      </c>
      <c r="R33" s="29"/>
      <c r="S33" s="7" t="str">
        <f aca="true">IF(R33&lt;&gt;"",IF(S33&lt;&gt;"",S33,NOW()),"")</f>
        <v/>
      </c>
      <c r="T33" s="29"/>
      <c r="U33" s="7" t="str">
        <f aca="true">IF(T33&lt;&gt;"",IF(U33&lt;&gt;"",U33,NOW()),"")</f>
        <v/>
      </c>
      <c r="V33" s="29"/>
      <c r="W33" s="7" t="str">
        <f aca="true">IF(V33&lt;&gt;"",IF(W33&lt;&gt;"",W33,NOW()),"")</f>
        <v/>
      </c>
      <c r="X33" s="29"/>
      <c r="Y33" s="7" t="str">
        <f aca="true">IF(X33&lt;&gt;"",IF(Y33&lt;&gt;"",Y33,NOW()),"")</f>
        <v/>
      </c>
      <c r="Z33" s="5"/>
    </row>
    <row r="34" customFormat="false" ht="15.75" hidden="false" customHeight="true" outlineLevel="0" collapsed="false">
      <c r="A34" s="1"/>
      <c r="B34" s="6"/>
      <c r="C34" s="7" t="str">
        <f aca="true">IF(B34&lt;&gt;"",IF(C34&lt;&gt;"",C34,NOW()),"")</f>
        <v/>
      </c>
      <c r="D34" s="29"/>
      <c r="E34" s="7" t="str">
        <f aca="true">IF(D34&lt;&gt;"",IF(E34&lt;&gt;"",E34,NOW()),"")</f>
        <v/>
      </c>
      <c r="F34" s="29"/>
      <c r="G34" s="7" t="str">
        <f aca="true">IF(F34&lt;&gt;"",IF(G34&lt;&gt;"",G34,NOW()),"")</f>
        <v/>
      </c>
      <c r="H34" s="29"/>
      <c r="I34" s="7" t="str">
        <f aca="true">IF(H34&lt;&gt;"",IF(I34&lt;&gt;"",I34,NOW()),"")</f>
        <v/>
      </c>
      <c r="J34" s="29"/>
      <c r="K34" s="7" t="str">
        <f aca="true">IF(J34&lt;&gt;"",IF(K34&lt;&gt;"",K34,NOW()),"")</f>
        <v/>
      </c>
      <c r="L34" s="29"/>
      <c r="M34" s="7" t="str">
        <f aca="true">IF(L34&lt;&gt;"",IF(M34&lt;&gt;"",M34,NOW()),"")</f>
        <v/>
      </c>
      <c r="N34" s="29"/>
      <c r="O34" s="7" t="str">
        <f aca="true">IF(N34&lt;&gt;"",IF(O34&lt;&gt;"",O34,NOW()),"")</f>
        <v/>
      </c>
      <c r="P34" s="29"/>
      <c r="Q34" s="7" t="str">
        <f aca="true">IF(P34&lt;&gt;"",IF(Q34&lt;&gt;"",Q34,NOW()),"")</f>
        <v/>
      </c>
      <c r="R34" s="29"/>
      <c r="S34" s="7" t="str">
        <f aca="true">IF(R34&lt;&gt;"",IF(S34&lt;&gt;"",S34,NOW()),"")</f>
        <v/>
      </c>
      <c r="T34" s="29"/>
      <c r="U34" s="7" t="str">
        <f aca="true">IF(T34&lt;&gt;"",IF(U34&lt;&gt;"",U34,NOW()),"")</f>
        <v/>
      </c>
      <c r="V34" s="29"/>
      <c r="W34" s="7" t="str">
        <f aca="true">IF(V34&lt;&gt;"",IF(W34&lt;&gt;"",W34,NOW()),"")</f>
        <v/>
      </c>
      <c r="X34" s="29"/>
      <c r="Y34" s="7" t="str">
        <f aca="true">IF(X34&lt;&gt;"",IF(Y34&lt;&gt;"",Y34,NOW()),"")</f>
        <v/>
      </c>
      <c r="Z34" s="5"/>
    </row>
    <row r="35" customFormat="false" ht="15.75" hidden="false" customHeight="true" outlineLevel="0" collapsed="false">
      <c r="A35" s="1"/>
      <c r="B35" s="6"/>
      <c r="C35" s="7" t="str">
        <f aca="true">IF(B35&lt;&gt;"",IF(C35&lt;&gt;"",C35,NOW()),"")</f>
        <v/>
      </c>
      <c r="D35" s="29"/>
      <c r="E35" s="7" t="str">
        <f aca="true">IF(D35&lt;&gt;"",IF(E35&lt;&gt;"",E35,NOW()),"")</f>
        <v/>
      </c>
      <c r="F35" s="29"/>
      <c r="G35" s="7" t="str">
        <f aca="true">IF(F35&lt;&gt;"",IF(G35&lt;&gt;"",G35,NOW()),"")</f>
        <v/>
      </c>
      <c r="H35" s="29"/>
      <c r="I35" s="7" t="str">
        <f aca="true">IF(H35&lt;&gt;"",IF(I35&lt;&gt;"",I35,NOW()),"")</f>
        <v/>
      </c>
      <c r="J35" s="29"/>
      <c r="K35" s="7" t="str">
        <f aca="true">IF(J35&lt;&gt;"",IF(K35&lt;&gt;"",K35,NOW()),"")</f>
        <v/>
      </c>
      <c r="L35" s="29"/>
      <c r="M35" s="7" t="str">
        <f aca="true">IF(L35&lt;&gt;"",IF(M35&lt;&gt;"",M35,NOW()),"")</f>
        <v/>
      </c>
      <c r="N35" s="29"/>
      <c r="O35" s="7" t="str">
        <f aca="true">IF(N35&lt;&gt;"",IF(O35&lt;&gt;"",O35,NOW()),"")</f>
        <v/>
      </c>
      <c r="P35" s="29"/>
      <c r="Q35" s="7" t="str">
        <f aca="true">IF(P35&lt;&gt;"",IF(Q35&lt;&gt;"",Q35,NOW()),"")</f>
        <v/>
      </c>
      <c r="R35" s="29"/>
      <c r="S35" s="7" t="str">
        <f aca="true">IF(R35&lt;&gt;"",IF(S35&lt;&gt;"",S35,NOW()),"")</f>
        <v/>
      </c>
      <c r="T35" s="29"/>
      <c r="U35" s="7" t="str">
        <f aca="true">IF(T35&lt;&gt;"",IF(U35&lt;&gt;"",U35,NOW()),"")</f>
        <v/>
      </c>
      <c r="V35" s="29"/>
      <c r="W35" s="7" t="str">
        <f aca="true">IF(V35&lt;&gt;"",IF(W35&lt;&gt;"",W35,NOW()),"")</f>
        <v/>
      </c>
      <c r="X35" s="29"/>
      <c r="Y35" s="7" t="str">
        <f aca="true">IF(X35&lt;&gt;"",IF(Y35&lt;&gt;"",Y35,NOW()),"")</f>
        <v/>
      </c>
      <c r="Z35" s="5"/>
    </row>
    <row r="36" customFormat="false" ht="15.75" hidden="false" customHeight="true" outlineLevel="0" collapsed="false">
      <c r="A36" s="1"/>
      <c r="B36" s="6"/>
      <c r="C36" s="7" t="str">
        <f aca="true">IF(B36&lt;&gt;"",IF(C36&lt;&gt;"",C36,NOW()),"")</f>
        <v/>
      </c>
      <c r="D36" s="29"/>
      <c r="E36" s="7" t="str">
        <f aca="true">IF(D36&lt;&gt;"",IF(E36&lt;&gt;"",E36,NOW()),"")</f>
        <v/>
      </c>
      <c r="F36" s="29"/>
      <c r="G36" s="7" t="str">
        <f aca="true">IF(F36&lt;&gt;"",IF(G36&lt;&gt;"",G36,NOW()),"")</f>
        <v/>
      </c>
      <c r="H36" s="29"/>
      <c r="I36" s="7" t="str">
        <f aca="true">IF(H36&lt;&gt;"",IF(I36&lt;&gt;"",I36,NOW()),"")</f>
        <v/>
      </c>
      <c r="J36" s="29"/>
      <c r="K36" s="7" t="str">
        <f aca="true">IF(J36&lt;&gt;"",IF(K36&lt;&gt;"",K36,NOW()),"")</f>
        <v/>
      </c>
      <c r="L36" s="29"/>
      <c r="M36" s="7" t="str">
        <f aca="true">IF(L36&lt;&gt;"",IF(M36&lt;&gt;"",M36,NOW()),"")</f>
        <v/>
      </c>
      <c r="N36" s="29"/>
      <c r="O36" s="7" t="str">
        <f aca="true">IF(N36&lt;&gt;"",IF(O36&lt;&gt;"",O36,NOW()),"")</f>
        <v/>
      </c>
      <c r="P36" s="29"/>
      <c r="Q36" s="7" t="str">
        <f aca="true">IF(P36&lt;&gt;"",IF(Q36&lt;&gt;"",Q36,NOW()),"")</f>
        <v/>
      </c>
      <c r="R36" s="29"/>
      <c r="S36" s="7" t="str">
        <f aca="true">IF(R36&lt;&gt;"",IF(S36&lt;&gt;"",S36,NOW()),"")</f>
        <v/>
      </c>
      <c r="T36" s="29"/>
      <c r="U36" s="7" t="str">
        <f aca="true">IF(T36&lt;&gt;"",IF(U36&lt;&gt;"",U36,NOW()),"")</f>
        <v/>
      </c>
      <c r="V36" s="29"/>
      <c r="W36" s="7" t="str">
        <f aca="true">IF(V36&lt;&gt;"",IF(W36&lt;&gt;"",W36,NOW()),"")</f>
        <v/>
      </c>
      <c r="X36" s="29"/>
      <c r="Y36" s="7" t="str">
        <f aca="true">IF(X36&lt;&gt;"",IF(Y36&lt;&gt;"",Y36,NOW()),"")</f>
        <v/>
      </c>
      <c r="Z36" s="5"/>
    </row>
    <row r="37" customFormat="false" ht="15.75" hidden="false" customHeight="true" outlineLevel="0" collapsed="false">
      <c r="A37" s="1"/>
      <c r="B37" s="6"/>
      <c r="C37" s="7" t="str">
        <f aca="true">IF(B37&lt;&gt;"",IF(C37&lt;&gt;"",C37,NOW()),"")</f>
        <v/>
      </c>
      <c r="D37" s="29"/>
      <c r="E37" s="7" t="str">
        <f aca="true">IF(D37&lt;&gt;"",IF(E37&lt;&gt;"",E37,NOW()),"")</f>
        <v/>
      </c>
      <c r="F37" s="29"/>
      <c r="G37" s="7" t="str">
        <f aca="true">IF(F37&lt;&gt;"",IF(G37&lt;&gt;"",G37,NOW()),"")</f>
        <v/>
      </c>
      <c r="H37" s="29"/>
      <c r="I37" s="7" t="str">
        <f aca="true">IF(H37&lt;&gt;"",IF(I37&lt;&gt;"",I37,NOW()),"")</f>
        <v/>
      </c>
      <c r="J37" s="29"/>
      <c r="K37" s="7" t="str">
        <f aca="true">IF(J37&lt;&gt;"",IF(K37&lt;&gt;"",K37,NOW()),"")</f>
        <v/>
      </c>
      <c r="L37" s="29"/>
      <c r="M37" s="7" t="str">
        <f aca="true">IF(L37&lt;&gt;"",IF(M37&lt;&gt;"",M37,NOW()),"")</f>
        <v/>
      </c>
      <c r="N37" s="29"/>
      <c r="O37" s="7" t="str">
        <f aca="true">IF(N37&lt;&gt;"",IF(O37&lt;&gt;"",O37,NOW()),"")</f>
        <v/>
      </c>
      <c r="P37" s="29"/>
      <c r="Q37" s="7" t="str">
        <f aca="true">IF(P37&lt;&gt;"",IF(Q37&lt;&gt;"",Q37,NOW()),"")</f>
        <v/>
      </c>
      <c r="R37" s="29"/>
      <c r="S37" s="7" t="str">
        <f aca="true">IF(R32&lt;&gt;"",IF(S32&lt;&gt;"",S32,NOW()),"")</f>
        <v/>
      </c>
      <c r="T37" s="29"/>
      <c r="U37" s="7" t="str">
        <f aca="true">IF(T37&lt;&gt;"",IF(U37&lt;&gt;"",U37,NOW()),"")</f>
        <v/>
      </c>
      <c r="V37" s="29"/>
      <c r="W37" s="7" t="str">
        <f aca="true">IF(V37&lt;&gt;"",IF(W37&lt;&gt;"",W37,NOW()),"")</f>
        <v/>
      </c>
      <c r="X37" s="29"/>
      <c r="Y37" s="7" t="str">
        <f aca="true">IF(X37&lt;&gt;"",IF(Y37&lt;&gt;"",Y37,NOW()),"")</f>
        <v/>
      </c>
      <c r="Z37" s="5"/>
    </row>
    <row r="38" customFormat="false" ht="15.75" hidden="false" customHeight="true" outlineLevel="0" collapsed="false">
      <c r="A38" s="1"/>
      <c r="B38" s="6"/>
      <c r="C38" s="7" t="str">
        <f aca="true">IF(B38&lt;&gt;"",IF(C38&lt;&gt;"",C38,NOW()),"")</f>
        <v/>
      </c>
      <c r="D38" s="29"/>
      <c r="E38" s="7" t="str">
        <f aca="true">IF(D38&lt;&gt;"",IF(E38&lt;&gt;"",E38,NOW()),"")</f>
        <v/>
      </c>
      <c r="F38" s="29"/>
      <c r="G38" s="7" t="str">
        <f aca="true">IF(F38&lt;&gt;"",IF(G38&lt;&gt;"",G38,NOW()),"")</f>
        <v/>
      </c>
      <c r="H38" s="29"/>
      <c r="I38" s="7" t="str">
        <f aca="true">IF(H38&lt;&gt;"",IF(I38&lt;&gt;"",I38,NOW()),"")</f>
        <v/>
      </c>
      <c r="J38" s="29"/>
      <c r="K38" s="7" t="str">
        <f aca="true">IF(J38&lt;&gt;"",IF(K38&lt;&gt;"",K38,NOW()),"")</f>
        <v/>
      </c>
      <c r="L38" s="29"/>
      <c r="M38" s="7" t="str">
        <f aca="true">IF(L38&lt;&gt;"",IF(M38&lt;&gt;"",M38,NOW()),"")</f>
        <v/>
      </c>
      <c r="N38" s="29"/>
      <c r="O38" s="7" t="str">
        <f aca="true">IF(N38&lt;&gt;"",IF(O38&lt;&gt;"",O38,NOW()),"")</f>
        <v/>
      </c>
      <c r="P38" s="29"/>
      <c r="Q38" s="7" t="str">
        <f aca="true">IF(P38&lt;&gt;"",IF(Q38&lt;&gt;"",Q38,NOW()),"")</f>
        <v/>
      </c>
      <c r="R38" s="29"/>
      <c r="S38" s="7" t="str">
        <f aca="true">IF(R38&lt;&gt;"",IF(S38&lt;&gt;"",S38,NOW()),"")</f>
        <v/>
      </c>
      <c r="T38" s="29"/>
      <c r="U38" s="7" t="str">
        <f aca="true">IF(T38&lt;&gt;"",IF(U38&lt;&gt;"",U38,NOW()),"")</f>
        <v/>
      </c>
      <c r="V38" s="29"/>
      <c r="W38" s="7" t="str">
        <f aca="true">IF(V38&lt;&gt;"",IF(W38&lt;&gt;"",W38,NOW()),"")</f>
        <v/>
      </c>
      <c r="X38" s="29"/>
      <c r="Y38" s="7" t="str">
        <f aca="true">IF(X38&lt;&gt;"",IF(Y38&lt;&gt;"",Y38,NOW()),"")</f>
        <v/>
      </c>
      <c r="Z38" s="5"/>
    </row>
    <row r="39" customFormat="false" ht="15.75" hidden="false" customHeight="true" outlineLevel="0" collapsed="false">
      <c r="A39" s="31" t="s">
        <v>25</v>
      </c>
      <c r="B39" s="32" t="n">
        <f aca="false">SUM(B25:B38)</f>
        <v>0</v>
      </c>
      <c r="C39" s="11"/>
      <c r="D39" s="32" t="n">
        <f aca="false">SUM(D25:D38)</f>
        <v>0</v>
      </c>
      <c r="E39" s="11"/>
      <c r="F39" s="32" t="n">
        <f aca="false">SUM(F25:F38)</f>
        <v>0</v>
      </c>
      <c r="G39" s="11"/>
      <c r="H39" s="32" t="n">
        <f aca="false">SUM(H25:H38)</f>
        <v>0</v>
      </c>
      <c r="I39" s="11"/>
      <c r="J39" s="32" t="n">
        <f aca="false">SUM(J25:J38)</f>
        <v>0</v>
      </c>
      <c r="K39" s="11"/>
      <c r="L39" s="32" t="n">
        <f aca="false">SUM(L25:L38)</f>
        <v>0</v>
      </c>
      <c r="M39" s="11"/>
      <c r="N39" s="32" t="n">
        <f aca="false">SUM(N25:N38)</f>
        <v>0</v>
      </c>
      <c r="O39" s="11"/>
      <c r="P39" s="32" t="n">
        <f aca="false">SUM(P25:P38)</f>
        <v>0</v>
      </c>
      <c r="Q39" s="11"/>
      <c r="R39" s="32" t="n">
        <f aca="false">SUM(R25:R38)</f>
        <v>0</v>
      </c>
      <c r="S39" s="11"/>
      <c r="T39" s="32" t="n">
        <f aca="false">SUM(T25:T38)</f>
        <v>0</v>
      </c>
      <c r="U39" s="11"/>
      <c r="V39" s="32" t="n">
        <f aca="false">SUM(V25:V38)</f>
        <v>0</v>
      </c>
      <c r="W39" s="11"/>
      <c r="X39" s="32" t="n">
        <f aca="false">SUM(X25:X38)</f>
        <v>0</v>
      </c>
      <c r="Y39" s="33"/>
      <c r="Z39" s="34" t="n">
        <f aca="false">SUM(B39:X39)+SUM(B16:X16)</f>
        <v>0</v>
      </c>
    </row>
    <row r="40" customFormat="false" ht="15.75" hidden="false" customHeight="true" outlineLevel="0" collapsed="false">
      <c r="A40" s="35" t="s">
        <v>26</v>
      </c>
      <c r="B40" s="36"/>
      <c r="C40" s="13" t="str">
        <f aca="true">IF(B40&lt;&gt;"",IF(C40&lt;&gt;"",C40,NOW()),"")</f>
        <v/>
      </c>
      <c r="D40" s="36"/>
      <c r="E40" s="13" t="str">
        <f aca="true">IF(D40&lt;&gt;"",IF(E40&lt;&gt;"",E40,NOW()),"")</f>
        <v/>
      </c>
      <c r="F40" s="36"/>
      <c r="G40" s="13" t="str">
        <f aca="true">IF(F40&lt;&gt;"",IF(G40&lt;&gt;"",G40,NOW()),"")</f>
        <v/>
      </c>
      <c r="H40" s="36"/>
      <c r="I40" s="13" t="str">
        <f aca="true">IF(H40&lt;&gt;"",IF(I40&lt;&gt;"",I40,NOW()),"")</f>
        <v/>
      </c>
      <c r="J40" s="36"/>
      <c r="K40" s="13" t="str">
        <f aca="true">IF(J40&lt;&gt;"",IF(K40&lt;&gt;"",K40,NOW()),"")</f>
        <v/>
      </c>
      <c r="L40" s="36"/>
      <c r="M40" s="13" t="str">
        <f aca="true">IF(L40&lt;&gt;"",IF(M40&lt;&gt;"",M40,NOW()),"")</f>
        <v/>
      </c>
      <c r="N40" s="36"/>
      <c r="O40" s="13" t="str">
        <f aca="true">IF(N40&lt;&gt;"",IF(O40&lt;&gt;"",O40,NOW()),"")</f>
        <v/>
      </c>
      <c r="P40" s="36"/>
      <c r="Q40" s="13" t="str">
        <f aca="true">IF(P40&lt;&gt;"",IF(Q40&lt;&gt;"",Q40,NOW()),"")</f>
        <v/>
      </c>
      <c r="R40" s="36"/>
      <c r="S40" s="13" t="str">
        <f aca="true">IF(R40&lt;&gt;"",IF(S40&lt;&gt;"",S40,NOW()),"")</f>
        <v/>
      </c>
      <c r="T40" s="36"/>
      <c r="U40" s="13" t="str">
        <f aca="true">IF(T40&lt;&gt;"",IF(U40&lt;&gt;"",U40,NOW()),"")</f>
        <v/>
      </c>
      <c r="V40" s="36"/>
      <c r="W40" s="13" t="str">
        <f aca="true">IF(V40&lt;&gt;"",IF(W40&lt;&gt;"",W40,NOW()),"")</f>
        <v/>
      </c>
      <c r="X40" s="36"/>
      <c r="Y40" s="37" t="str">
        <f aca="true">IF(X40&lt;&gt;"",IF(Y40&lt;&gt;"",Y40,NOW()),"")</f>
        <v/>
      </c>
      <c r="Z40" s="38" t="n">
        <f aca="false">SUM(B40+D40+F40+H40+J40+L40+N40+P40+R40+T40+V40+X40)+SUM(B17+D17+F17+H17+J17+L17+N17+P17+R17+T17+V17+X17)</f>
        <v>0</v>
      </c>
    </row>
    <row r="41" customFormat="false" ht="15.75" hidden="false" customHeight="true" outlineLevel="0" collapsed="false">
      <c r="A41" s="39" t="s">
        <v>27</v>
      </c>
      <c r="B41" s="40" t="n">
        <f aca="false">B39+B40</f>
        <v>0</v>
      </c>
      <c r="C41" s="11"/>
      <c r="D41" s="40" t="n">
        <f aca="false">D39+D40</f>
        <v>0</v>
      </c>
      <c r="E41" s="11"/>
      <c r="F41" s="40" t="n">
        <f aca="false">F39+F40</f>
        <v>0</v>
      </c>
      <c r="G41" s="11"/>
      <c r="H41" s="40" t="n">
        <f aca="false">H39+H40</f>
        <v>0</v>
      </c>
      <c r="I41" s="11"/>
      <c r="J41" s="40" t="n">
        <f aca="false">J39+J40</f>
        <v>0</v>
      </c>
      <c r="K41" s="11"/>
      <c r="L41" s="40" t="n">
        <f aca="false">L39+L40</f>
        <v>0</v>
      </c>
      <c r="M41" s="11"/>
      <c r="N41" s="40" t="n">
        <f aca="false">N39+N40</f>
        <v>0</v>
      </c>
      <c r="O41" s="11"/>
      <c r="P41" s="40" t="n">
        <f aca="false">P39+P40</f>
        <v>0</v>
      </c>
      <c r="Q41" s="11"/>
      <c r="R41" s="40" t="n">
        <f aca="false">R39+R40</f>
        <v>0</v>
      </c>
      <c r="S41" s="11"/>
      <c r="T41" s="40" t="n">
        <f aca="false">T39+T40</f>
        <v>0</v>
      </c>
      <c r="U41" s="11"/>
      <c r="V41" s="40" t="n">
        <f aca="false">V39+V40</f>
        <v>0</v>
      </c>
      <c r="W41" s="11"/>
      <c r="X41" s="40" t="n">
        <f aca="false">X39+X40</f>
        <v>0</v>
      </c>
      <c r="Y41" s="33"/>
      <c r="Z41" s="41" t="n">
        <f aca="false">SUM(B41:X41)+SUM(B18:X18)</f>
        <v>0</v>
      </c>
    </row>
    <row r="42" customFormat="false" ht="15.75" hidden="false" customHeight="true" outlineLevel="0" collapsed="false">
      <c r="A42" s="42" t="s">
        <v>28</v>
      </c>
      <c r="B42" s="43"/>
      <c r="C42" s="11"/>
      <c r="D42" s="43"/>
      <c r="E42" s="11"/>
      <c r="F42" s="43"/>
      <c r="G42" s="11"/>
      <c r="H42" s="43"/>
      <c r="I42" s="11"/>
      <c r="J42" s="43"/>
      <c r="K42" s="11"/>
      <c r="L42" s="43"/>
      <c r="M42" s="11"/>
      <c r="N42" s="43"/>
      <c r="O42" s="11"/>
      <c r="P42" s="43"/>
      <c r="Q42" s="11"/>
      <c r="R42" s="43"/>
      <c r="S42" s="11"/>
      <c r="T42" s="43"/>
      <c r="U42" s="11"/>
      <c r="V42" s="43"/>
      <c r="W42" s="11"/>
      <c r="X42" s="43"/>
      <c r="Y42" s="33"/>
      <c r="Z42" s="44" t="n">
        <f aca="false">SUM(B42:X42)+SUM(B19:X19)</f>
        <v>0</v>
      </c>
    </row>
    <row r="43" customFormat="false" ht="15.75" hidden="false" customHeight="true" outlineLevel="0" collapsed="false">
      <c r="A43" s="45" t="s">
        <v>29</v>
      </c>
      <c r="B43" s="46"/>
      <c r="C43" s="11"/>
      <c r="D43" s="46"/>
      <c r="E43" s="11"/>
      <c r="F43" s="46"/>
      <c r="G43" s="11"/>
      <c r="H43" s="46"/>
      <c r="I43" s="11"/>
      <c r="J43" s="46"/>
      <c r="K43" s="11"/>
      <c r="L43" s="46"/>
      <c r="M43" s="11"/>
      <c r="N43" s="46"/>
      <c r="O43" s="11"/>
      <c r="P43" s="46"/>
      <c r="Q43" s="11"/>
      <c r="R43" s="46"/>
      <c r="S43" s="11"/>
      <c r="T43" s="46"/>
      <c r="U43" s="11"/>
      <c r="V43" s="46"/>
      <c r="W43" s="11"/>
      <c r="X43" s="46"/>
      <c r="Y43" s="33"/>
      <c r="Z43" s="47" t="n">
        <f aca="false">SUM(B43:X43)+SUM(B20:X20)</f>
        <v>0</v>
      </c>
    </row>
    <row r="44" customFormat="false" ht="15.75" hidden="false" customHeight="true" outlineLevel="0" collapsed="false">
      <c r="A44" s="48" t="s">
        <v>30</v>
      </c>
      <c r="B44" s="49" t="n">
        <f aca="false">B41+B42+B43</f>
        <v>0</v>
      </c>
      <c r="C44" s="11"/>
      <c r="D44" s="49" t="n">
        <f aca="false">D41+D42+D43</f>
        <v>0</v>
      </c>
      <c r="E44" s="11"/>
      <c r="F44" s="49" t="n">
        <f aca="false">F41+F42+F43</f>
        <v>0</v>
      </c>
      <c r="G44" s="11"/>
      <c r="H44" s="49" t="n">
        <f aca="false">H41+H42+H43</f>
        <v>0</v>
      </c>
      <c r="I44" s="11"/>
      <c r="J44" s="49" t="n">
        <f aca="false">J41+J42+J43</f>
        <v>0</v>
      </c>
      <c r="K44" s="11"/>
      <c r="L44" s="49" t="n">
        <f aca="false">L41+L42+L43</f>
        <v>0</v>
      </c>
      <c r="M44" s="11"/>
      <c r="N44" s="49" t="n">
        <f aca="false">N41+N42+N43</f>
        <v>0</v>
      </c>
      <c r="O44" s="11"/>
      <c r="P44" s="49" t="n">
        <f aca="false">P41+P42+P43</f>
        <v>0</v>
      </c>
      <c r="Q44" s="11"/>
      <c r="R44" s="49" t="n">
        <f aca="false">R41+R42+R43</f>
        <v>0</v>
      </c>
      <c r="S44" s="11"/>
      <c r="T44" s="49" t="n">
        <f aca="false">T41+T42+T43</f>
        <v>0</v>
      </c>
      <c r="U44" s="11"/>
      <c r="V44" s="49" t="n">
        <f aca="false">V41+V42+V43</f>
        <v>0</v>
      </c>
      <c r="W44" s="11"/>
      <c r="X44" s="49" t="n">
        <f aca="false">X41+X42+X43</f>
        <v>0</v>
      </c>
      <c r="Y44" s="33"/>
      <c r="Z44" s="50" t="n">
        <f aca="false">SUM(B44:X44)+SUM(B21:X21)</f>
        <v>0</v>
      </c>
    </row>
    <row r="45" customFormat="false" ht="15.75" hidden="false" customHeight="true" outlineLevel="0" collapsed="false">
      <c r="A45" s="51"/>
      <c r="B45" s="52" t="n">
        <f aca="false">B24</f>
        <v>0</v>
      </c>
      <c r="C45" s="52"/>
      <c r="D45" s="52" t="n">
        <f aca="false">D24</f>
        <v>0</v>
      </c>
      <c r="E45" s="52"/>
      <c r="F45" s="52" t="n">
        <f aca="false">F24</f>
        <v>0</v>
      </c>
      <c r="G45" s="52"/>
      <c r="H45" s="52" t="n">
        <f aca="false">H24</f>
        <v>0</v>
      </c>
      <c r="I45" s="52"/>
      <c r="J45" s="52" t="n">
        <f aca="false">J24</f>
        <v>0</v>
      </c>
      <c r="K45" s="52"/>
      <c r="L45" s="52" t="n">
        <f aca="false">L24</f>
        <v>0</v>
      </c>
      <c r="M45" s="52"/>
      <c r="N45" s="52" t="n">
        <f aca="false">N24</f>
        <v>0</v>
      </c>
      <c r="O45" s="52"/>
      <c r="P45" s="52" t="n">
        <f aca="false">P24</f>
        <v>0</v>
      </c>
      <c r="Q45" s="52"/>
      <c r="R45" s="52" t="n">
        <f aca="false">R24</f>
        <v>0</v>
      </c>
      <c r="S45" s="52"/>
      <c r="T45" s="52" t="n">
        <f aca="false">T24</f>
        <v>0</v>
      </c>
      <c r="U45" s="52"/>
      <c r="V45" s="52" t="n">
        <f aca="false">V24</f>
        <v>0</v>
      </c>
      <c r="W45" s="53"/>
      <c r="X45" s="54" t="n">
        <f aca="false">X24</f>
        <v>0</v>
      </c>
      <c r="Y45" s="52"/>
      <c r="Z45" s="55"/>
    </row>
    <row r="46" customFormat="false" ht="15.75" hidden="false" customHeight="true" outlineLevel="0" collapsed="false">
      <c r="A46" s="56"/>
      <c r="B46" s="56"/>
      <c r="C46" s="56"/>
      <c r="D46" s="56"/>
      <c r="E46" s="56"/>
      <c r="F46" s="56"/>
      <c r="G46" s="57"/>
      <c r="H46" s="56"/>
      <c r="I46" s="56"/>
      <c r="J46" s="56"/>
      <c r="K46" s="56"/>
      <c r="L46" s="56"/>
      <c r="M46" s="20"/>
      <c r="N46" s="58"/>
      <c r="O46" s="58"/>
      <c r="P46" s="59"/>
      <c r="Q46" s="60"/>
      <c r="R46" s="60"/>
      <c r="S46" s="60"/>
      <c r="T46" s="60"/>
      <c r="U46" s="59"/>
      <c r="V46" s="60"/>
      <c r="W46" s="61"/>
      <c r="X46" s="62"/>
      <c r="Y46" s="63"/>
      <c r="Z46" s="57"/>
    </row>
    <row r="47" customFormat="false" ht="15.75" hidden="false" customHeight="true" outlineLevel="0" collapsed="false">
      <c r="A47" s="64" t="s">
        <v>31</v>
      </c>
      <c r="B47" s="65"/>
      <c r="C47" s="66" t="s">
        <v>32</v>
      </c>
      <c r="D47" s="67"/>
      <c r="E47" s="68" t="s">
        <v>33</v>
      </c>
      <c r="F47" s="69"/>
      <c r="G47" s="70"/>
      <c r="H47" s="71"/>
      <c r="I47" s="72"/>
      <c r="J47" s="73"/>
      <c r="K47" s="74"/>
      <c r="L47" s="75" t="n">
        <f aca="false">F47</f>
        <v>0</v>
      </c>
      <c r="M47" s="6"/>
      <c r="N47" s="76"/>
      <c r="O47" s="77"/>
      <c r="P47" s="78"/>
      <c r="Q47" s="79"/>
      <c r="R47" s="79"/>
      <c r="S47" s="79"/>
      <c r="T47" s="79"/>
      <c r="U47" s="78"/>
      <c r="V47" s="79"/>
      <c r="W47" s="80"/>
      <c r="X47" s="81"/>
      <c r="Y47" s="82"/>
      <c r="Z47" s="83"/>
    </row>
    <row r="48" customFormat="false" ht="15.75" hidden="false" customHeight="true" outlineLevel="0" collapsed="false">
      <c r="A48" s="84" t="s">
        <v>34</v>
      </c>
      <c r="B48" s="85" t="s">
        <v>35</v>
      </c>
      <c r="C48" s="86" t="s">
        <v>34</v>
      </c>
      <c r="D48" s="85" t="s">
        <v>35</v>
      </c>
      <c r="E48" s="87" t="s">
        <v>34</v>
      </c>
      <c r="F48" s="88" t="s">
        <v>35</v>
      </c>
      <c r="G48" s="89"/>
      <c r="H48" s="90"/>
      <c r="I48" s="91" t="s">
        <v>36</v>
      </c>
      <c r="J48" s="92" t="n">
        <f aca="false">B47</f>
        <v>0</v>
      </c>
      <c r="K48" s="93" t="n">
        <f aca="false">D47</f>
        <v>0</v>
      </c>
      <c r="L48" s="94" t="n">
        <f aca="false">F47</f>
        <v>0</v>
      </c>
      <c r="M48" s="6"/>
      <c r="N48" s="95" t="s">
        <v>37</v>
      </c>
      <c r="O48" s="96" t="n">
        <f aca="false">A89+C89+E89</f>
        <v>0</v>
      </c>
      <c r="P48" s="97"/>
      <c r="Q48" s="98"/>
      <c r="R48" s="99" t="s">
        <v>38</v>
      </c>
      <c r="S48" s="100" t="s">
        <v>39</v>
      </c>
      <c r="T48" s="101" t="n">
        <f aca="false">Z41+G87</f>
        <v>0</v>
      </c>
      <c r="U48" s="97"/>
      <c r="V48" s="102" t="s">
        <v>40</v>
      </c>
      <c r="W48" s="103"/>
      <c r="X48" s="104" t="s">
        <v>41</v>
      </c>
      <c r="Y48" s="105" t="n">
        <f aca="false">B24</f>
        <v>0</v>
      </c>
      <c r="Z48" s="106" t="n">
        <f aca="false">B44</f>
        <v>0</v>
      </c>
    </row>
    <row r="49" customFormat="false" ht="15.75" hidden="false" customHeight="true" outlineLevel="0" collapsed="false">
      <c r="A49" s="107"/>
      <c r="B49" s="108" t="str">
        <f aca="true">IF(A49&lt;&gt;"",IF(B49&lt;&gt;"",B49,NOW()),"")</f>
        <v/>
      </c>
      <c r="C49" s="109"/>
      <c r="D49" s="108" t="str">
        <f aca="true">IF(C49&lt;&gt;"",IF(D49&lt;&gt;"",D49,NOW()),"")</f>
        <v/>
      </c>
      <c r="E49" s="110"/>
      <c r="F49" s="108" t="str">
        <f aca="true">IF(E49&lt;&gt;"",IF(F49&lt;&gt;"",F49,NOW()),"")</f>
        <v/>
      </c>
      <c r="G49" s="89"/>
      <c r="H49" s="111"/>
      <c r="I49" s="112" t="n">
        <v>100</v>
      </c>
      <c r="J49" s="113" t="n">
        <v>75</v>
      </c>
      <c r="K49" s="114" t="n">
        <v>75</v>
      </c>
      <c r="L49" s="115" t="n">
        <v>75</v>
      </c>
      <c r="M49" s="116"/>
      <c r="N49" s="117" t="s">
        <v>42</v>
      </c>
      <c r="O49" s="118" t="n">
        <f aca="false">Z42+Z43-M82-O50-O51-O52-O53-O54-O55-O56-O57</f>
        <v>0</v>
      </c>
      <c r="P49" s="6"/>
      <c r="Q49" s="119"/>
      <c r="R49" s="119"/>
      <c r="S49" s="119"/>
      <c r="T49" s="119"/>
      <c r="U49" s="120"/>
      <c r="V49" s="121" t="s">
        <v>43</v>
      </c>
      <c r="W49" s="122" t="n">
        <f aca="false">W48+O49</f>
        <v>0</v>
      </c>
      <c r="X49" s="104" t="s">
        <v>44</v>
      </c>
      <c r="Y49" s="105" t="n">
        <f aca="false">D24</f>
        <v>0</v>
      </c>
      <c r="Z49" s="106" t="n">
        <f aca="false">D44</f>
        <v>0</v>
      </c>
    </row>
    <row r="50" customFormat="false" ht="15.75" hidden="false" customHeight="true" outlineLevel="0" collapsed="false">
      <c r="A50" s="123"/>
      <c r="B50" s="124" t="str">
        <f aca="true">IF(A50&lt;&gt;"",IF(B50&lt;&gt;"",B50,NOW()),"")</f>
        <v/>
      </c>
      <c r="C50" s="125"/>
      <c r="D50" s="124" t="str">
        <f aca="true">IF(C50&lt;&gt;"",IF(D50&lt;&gt;"",D50,NOW()),"")</f>
        <v/>
      </c>
      <c r="E50" s="126"/>
      <c r="F50" s="124" t="str">
        <f aca="true">IF(E50&lt;&gt;"",IF(F50&lt;&gt;"",F50,NOW()),"")</f>
        <v/>
      </c>
      <c r="G50" s="89"/>
      <c r="H50" s="127"/>
      <c r="I50" s="128"/>
      <c r="J50" s="129"/>
      <c r="K50" s="130"/>
      <c r="L50" s="131"/>
      <c r="M50" s="132" t="s">
        <v>45</v>
      </c>
      <c r="N50" s="133"/>
      <c r="O50" s="134"/>
      <c r="P50" s="120"/>
      <c r="Q50" s="135"/>
      <c r="R50" s="136" t="s">
        <v>46</v>
      </c>
      <c r="S50" s="137"/>
      <c r="T50" s="138" t="s">
        <v>47</v>
      </c>
      <c r="U50" s="20"/>
      <c r="V50" s="20"/>
      <c r="W50" s="56"/>
      <c r="X50" s="139" t="s">
        <v>48</v>
      </c>
      <c r="Y50" s="105" t="n">
        <f aca="false">F24</f>
        <v>0</v>
      </c>
      <c r="Z50" s="106" t="n">
        <f aca="false">F44</f>
        <v>0</v>
      </c>
    </row>
    <row r="51" customFormat="false" ht="15.75" hidden="false" customHeight="true" outlineLevel="0" collapsed="false">
      <c r="A51" s="123"/>
      <c r="B51" s="124" t="str">
        <f aca="true">IF(A51&lt;&gt;"",IF(B51&lt;&gt;"",B51,NOW()),"")</f>
        <v/>
      </c>
      <c r="C51" s="125"/>
      <c r="D51" s="124" t="str">
        <f aca="true">IF(C51&lt;&gt;"",IF(D51&lt;&gt;"",D51,NOW()),"")</f>
        <v/>
      </c>
      <c r="E51" s="126"/>
      <c r="F51" s="124" t="str">
        <f aca="true">IF(E51&lt;&gt;"",IF(F51&lt;&gt;"",F51,NOW()),"")</f>
        <v/>
      </c>
      <c r="G51" s="89"/>
      <c r="H51" s="127"/>
      <c r="I51" s="128"/>
      <c r="J51" s="129"/>
      <c r="K51" s="130"/>
      <c r="L51" s="131"/>
      <c r="M51" s="140" t="n">
        <f aca="false">SUM(O50:O57)</f>
        <v>0</v>
      </c>
      <c r="N51" s="141"/>
      <c r="O51" s="142"/>
      <c r="P51" s="120"/>
      <c r="Q51" s="143"/>
      <c r="R51" s="144"/>
      <c r="S51" s="145"/>
      <c r="T51" s="146"/>
      <c r="U51" s="147"/>
      <c r="V51" s="148"/>
      <c r="W51" s="148"/>
      <c r="X51" s="149" t="s">
        <v>49</v>
      </c>
      <c r="Y51" s="105" t="n">
        <f aca="false">H24</f>
        <v>0</v>
      </c>
      <c r="Z51" s="106" t="n">
        <f aca="false">H44</f>
        <v>0</v>
      </c>
    </row>
    <row r="52" customFormat="false" ht="15.75" hidden="false" customHeight="true" outlineLevel="0" collapsed="false">
      <c r="A52" s="123"/>
      <c r="B52" s="124" t="str">
        <f aca="true">IF(A52&lt;&gt;"",IF(B52&lt;&gt;"",B52,NOW()),"")</f>
        <v/>
      </c>
      <c r="C52" s="125"/>
      <c r="D52" s="124" t="str">
        <f aca="true">IF(C52&lt;&gt;"",IF(D52&lt;&gt;"",D52,NOW()),"")</f>
        <v/>
      </c>
      <c r="E52" s="126"/>
      <c r="F52" s="124" t="str">
        <f aca="true">IF(E52&lt;&gt;"",IF(F52&lt;&gt;"",F52,NOW()),"")</f>
        <v/>
      </c>
      <c r="G52" s="89"/>
      <c r="H52" s="127"/>
      <c r="I52" s="128"/>
      <c r="J52" s="129"/>
      <c r="K52" s="130"/>
      <c r="L52" s="150"/>
      <c r="M52" s="151"/>
      <c r="N52" s="152"/>
      <c r="O52" s="153"/>
      <c r="P52" s="97"/>
      <c r="Q52" s="143"/>
      <c r="R52" s="144"/>
      <c r="S52" s="145"/>
      <c r="T52" s="146"/>
      <c r="U52" s="147"/>
      <c r="V52" s="148"/>
      <c r="W52" s="148"/>
      <c r="X52" s="154" t="s">
        <v>50</v>
      </c>
      <c r="Y52" s="105" t="n">
        <f aca="false">J24</f>
        <v>0</v>
      </c>
      <c r="Z52" s="106" t="n">
        <f aca="false">J44</f>
        <v>0</v>
      </c>
    </row>
    <row r="53" customFormat="false" ht="15.75" hidden="false" customHeight="true" outlineLevel="0" collapsed="false">
      <c r="A53" s="123"/>
      <c r="B53" s="124" t="str">
        <f aca="true">IF(A53&lt;&gt;"",IF(B53&lt;&gt;"",B53,NOW()),"")</f>
        <v/>
      </c>
      <c r="C53" s="125"/>
      <c r="D53" s="124" t="str">
        <f aca="true">IF(C53&lt;&gt;"",IF(D53&lt;&gt;"",D53,NOW()),"")</f>
        <v/>
      </c>
      <c r="E53" s="126"/>
      <c r="F53" s="124" t="str">
        <f aca="true">IF(E53&lt;&gt;"",IF(F53&lt;&gt;"",F53,NOW()),"")</f>
        <v/>
      </c>
      <c r="G53" s="89"/>
      <c r="H53" s="127"/>
      <c r="I53" s="128"/>
      <c r="J53" s="129"/>
      <c r="K53" s="130"/>
      <c r="L53" s="150"/>
      <c r="M53" s="155"/>
      <c r="N53" s="152"/>
      <c r="O53" s="153"/>
      <c r="P53" s="97"/>
      <c r="Q53" s="143"/>
      <c r="R53" s="144"/>
      <c r="S53" s="145"/>
      <c r="T53" s="146"/>
      <c r="U53" s="147"/>
      <c r="V53" s="148"/>
      <c r="W53" s="148"/>
      <c r="X53" s="154" t="s">
        <v>51</v>
      </c>
      <c r="Y53" s="105" t="n">
        <f aca="false">L24</f>
        <v>0</v>
      </c>
      <c r="Z53" s="106" t="n">
        <f aca="false">L44</f>
        <v>0</v>
      </c>
    </row>
    <row r="54" customFormat="false" ht="15.75" hidden="false" customHeight="true" outlineLevel="0" collapsed="false">
      <c r="A54" s="123"/>
      <c r="B54" s="124" t="str">
        <f aca="true">IF(A54&lt;&gt;"",IF(B54&lt;&gt;"",B54,NOW()),"")</f>
        <v/>
      </c>
      <c r="C54" s="125"/>
      <c r="D54" s="124" t="str">
        <f aca="true">IF(C54&lt;&gt;"",IF(D54&lt;&gt;"",D54,NOW()),"")</f>
        <v/>
      </c>
      <c r="E54" s="126"/>
      <c r="F54" s="124" t="str">
        <f aca="true">IF(E54&lt;&gt;"",IF(F54&lt;&gt;"",F54,NOW()),"")</f>
        <v/>
      </c>
      <c r="G54" s="89"/>
      <c r="H54" s="127"/>
      <c r="I54" s="128"/>
      <c r="J54" s="129"/>
      <c r="K54" s="130"/>
      <c r="L54" s="150"/>
      <c r="M54" s="155"/>
      <c r="N54" s="152"/>
      <c r="O54" s="153"/>
      <c r="P54" s="97"/>
      <c r="Q54" s="143"/>
      <c r="R54" s="144"/>
      <c r="S54" s="145"/>
      <c r="T54" s="146"/>
      <c r="U54" s="147"/>
      <c r="V54" s="148"/>
      <c r="W54" s="148"/>
      <c r="X54" s="154" t="s">
        <v>52</v>
      </c>
      <c r="Y54" s="105" t="n">
        <f aca="false">N24</f>
        <v>0</v>
      </c>
      <c r="Z54" s="106" t="n">
        <f aca="false">N44</f>
        <v>0</v>
      </c>
    </row>
    <row r="55" customFormat="false" ht="15.75" hidden="false" customHeight="true" outlineLevel="0" collapsed="false">
      <c r="A55" s="123"/>
      <c r="B55" s="124" t="str">
        <f aca="true">IF(A55&lt;&gt;"",IF(B55&lt;&gt;"",B55,NOW()),"")</f>
        <v/>
      </c>
      <c r="C55" s="125"/>
      <c r="D55" s="124" t="str">
        <f aca="true">IF(C55&lt;&gt;"",IF(D55&lt;&gt;"",D55,NOW()),"")</f>
        <v/>
      </c>
      <c r="E55" s="126"/>
      <c r="F55" s="124" t="str">
        <f aca="true">IF(E55&lt;&gt;"",IF(F55&lt;&gt;"",F55,NOW()),"")</f>
        <v/>
      </c>
      <c r="G55" s="89"/>
      <c r="H55" s="127"/>
      <c r="I55" s="128"/>
      <c r="J55" s="129"/>
      <c r="K55" s="130"/>
      <c r="L55" s="150"/>
      <c r="M55" s="155"/>
      <c r="N55" s="152"/>
      <c r="O55" s="153"/>
      <c r="P55" s="97"/>
      <c r="Q55" s="143"/>
      <c r="R55" s="144"/>
      <c r="S55" s="145"/>
      <c r="T55" s="146"/>
      <c r="U55" s="147"/>
      <c r="V55" s="148"/>
      <c r="W55" s="148"/>
      <c r="X55" s="154" t="s">
        <v>53</v>
      </c>
      <c r="Y55" s="105" t="n">
        <f aca="false">P24</f>
        <v>0</v>
      </c>
      <c r="Z55" s="106" t="n">
        <f aca="false">P44</f>
        <v>0</v>
      </c>
    </row>
    <row r="56" customFormat="false" ht="15.75" hidden="false" customHeight="true" outlineLevel="0" collapsed="false">
      <c r="A56" s="123"/>
      <c r="B56" s="124" t="str">
        <f aca="true">IF(A56&lt;&gt;"",IF(B56&lt;&gt;"",B56,NOW()),"")</f>
        <v/>
      </c>
      <c r="C56" s="125"/>
      <c r="D56" s="124" t="str">
        <f aca="true">IF(C56&lt;&gt;"",IF(D56&lt;&gt;"",D56,NOW()),"")</f>
        <v/>
      </c>
      <c r="E56" s="126"/>
      <c r="F56" s="124" t="str">
        <f aca="true">IF(E56&lt;&gt;"",IF(F56&lt;&gt;"",F56,NOW()),"")</f>
        <v/>
      </c>
      <c r="G56" s="89"/>
      <c r="H56" s="127"/>
      <c r="I56" s="128"/>
      <c r="J56" s="129"/>
      <c r="K56" s="130"/>
      <c r="L56" s="150"/>
      <c r="M56" s="155"/>
      <c r="N56" s="152"/>
      <c r="O56" s="153"/>
      <c r="P56" s="97"/>
      <c r="Q56" s="143"/>
      <c r="R56" s="144"/>
      <c r="S56" s="145"/>
      <c r="T56" s="146"/>
      <c r="U56" s="147"/>
      <c r="V56" s="148"/>
      <c r="W56" s="148"/>
      <c r="X56" s="156" t="s">
        <v>54</v>
      </c>
      <c r="Y56" s="105" t="n">
        <f aca="false">R24</f>
        <v>0</v>
      </c>
      <c r="Z56" s="106" t="n">
        <f aca="false">R44</f>
        <v>0</v>
      </c>
    </row>
    <row r="57" customFormat="false" ht="15.75" hidden="false" customHeight="true" outlineLevel="0" collapsed="false">
      <c r="A57" s="123"/>
      <c r="B57" s="124" t="str">
        <f aca="true">IF(A57&lt;&gt;"",IF(B57&lt;&gt;"",B57,NOW()),"")</f>
        <v/>
      </c>
      <c r="C57" s="125"/>
      <c r="D57" s="124" t="str">
        <f aca="true">IF(C57&lt;&gt;"",IF(D57&lt;&gt;"",D57,NOW()),"")</f>
        <v/>
      </c>
      <c r="E57" s="126"/>
      <c r="F57" s="124" t="str">
        <f aca="true">IF(E57&lt;&gt;"",IF(F57&lt;&gt;"",F57,NOW()),"")</f>
        <v/>
      </c>
      <c r="G57" s="89"/>
      <c r="H57" s="127"/>
      <c r="I57" s="128"/>
      <c r="J57" s="129"/>
      <c r="K57" s="130"/>
      <c r="L57" s="150"/>
      <c r="M57" s="155"/>
      <c r="N57" s="152"/>
      <c r="O57" s="153"/>
      <c r="P57" s="97"/>
      <c r="Q57" s="143"/>
      <c r="R57" s="144"/>
      <c r="S57" s="145"/>
      <c r="T57" s="146"/>
      <c r="U57" s="147"/>
      <c r="V57" s="148"/>
      <c r="W57" s="148"/>
      <c r="X57" s="156" t="s">
        <v>55</v>
      </c>
      <c r="Y57" s="105" t="n">
        <f aca="false">T24</f>
        <v>0</v>
      </c>
      <c r="Z57" s="106" t="n">
        <f aca="false">T44</f>
        <v>0</v>
      </c>
    </row>
    <row r="58" customFormat="false" ht="15.75" hidden="false" customHeight="true" outlineLevel="0" collapsed="false">
      <c r="A58" s="123"/>
      <c r="B58" s="124" t="str">
        <f aca="true">IF(A58&lt;&gt;"",IF(B58&lt;&gt;"",B58,NOW()),"")</f>
        <v/>
      </c>
      <c r="C58" s="125"/>
      <c r="D58" s="124" t="str">
        <f aca="true">IF(C58&lt;&gt;"",IF(D58&lt;&gt;"",D58,NOW()),"")</f>
        <v/>
      </c>
      <c r="E58" s="126"/>
      <c r="F58" s="124" t="str">
        <f aca="true">IF(E58&lt;&gt;"",IF(F58&lt;&gt;"",F58,NOW()),"")</f>
        <v/>
      </c>
      <c r="G58" s="89"/>
      <c r="H58" s="127"/>
      <c r="I58" s="128"/>
      <c r="J58" s="129"/>
      <c r="K58" s="130"/>
      <c r="L58" s="150"/>
      <c r="M58" s="155"/>
      <c r="N58" s="157"/>
      <c r="O58" s="158"/>
      <c r="P58" s="97"/>
      <c r="Q58" s="143"/>
      <c r="R58" s="144"/>
      <c r="S58" s="145"/>
      <c r="T58" s="146"/>
      <c r="U58" s="147"/>
      <c r="V58" s="148"/>
      <c r="W58" s="148"/>
      <c r="X58" s="156" t="s">
        <v>56</v>
      </c>
      <c r="Y58" s="105" t="n">
        <f aca="false">V24</f>
        <v>0</v>
      </c>
      <c r="Z58" s="106" t="n">
        <f aca="false">V44</f>
        <v>0</v>
      </c>
    </row>
    <row r="59" customFormat="false" ht="15.75" hidden="false" customHeight="true" outlineLevel="0" collapsed="false">
      <c r="A59" s="123"/>
      <c r="B59" s="124" t="str">
        <f aca="true">IF(A59&lt;&gt;"",IF(B59&lt;&gt;"",B59,NOW()),"")</f>
        <v/>
      </c>
      <c r="C59" s="125"/>
      <c r="D59" s="124" t="str">
        <f aca="true">IF(C59&lt;&gt;"",IF(D59&lt;&gt;"",D59,NOW()),"")</f>
        <v/>
      </c>
      <c r="E59" s="126"/>
      <c r="F59" s="124" t="str">
        <f aca="true">IF(E59&lt;&gt;"",IF(F59&lt;&gt;"",F59,NOW()),"")</f>
        <v/>
      </c>
      <c r="G59" s="89"/>
      <c r="H59" s="127"/>
      <c r="I59" s="128"/>
      <c r="J59" s="129"/>
      <c r="K59" s="130"/>
      <c r="L59" s="150"/>
      <c r="M59" s="159"/>
      <c r="N59" s="157"/>
      <c r="O59" s="157"/>
      <c r="P59" s="97"/>
      <c r="Q59" s="143"/>
      <c r="R59" s="144"/>
      <c r="S59" s="145"/>
      <c r="T59" s="146"/>
      <c r="U59" s="147" t="s">
        <v>57</v>
      </c>
      <c r="V59" s="148"/>
      <c r="W59" s="148"/>
      <c r="X59" s="156" t="s">
        <v>58</v>
      </c>
      <c r="Y59" s="105" t="n">
        <f aca="false">X24</f>
        <v>0</v>
      </c>
      <c r="Z59" s="106" t="n">
        <f aca="false">X44</f>
        <v>0</v>
      </c>
    </row>
    <row r="60" customFormat="false" ht="15.75" hidden="false" customHeight="true" outlineLevel="0" collapsed="false">
      <c r="A60" s="123"/>
      <c r="B60" s="124" t="str">
        <f aca="true">IF(A60&lt;&gt;"",IF(B60&lt;&gt;"",B60,NOW()),"")</f>
        <v/>
      </c>
      <c r="C60" s="125"/>
      <c r="D60" s="124" t="str">
        <f aca="true">IF(C60&lt;&gt;"",IF(D60&lt;&gt;"",D60,NOW()),"")</f>
        <v/>
      </c>
      <c r="E60" s="126"/>
      <c r="F60" s="124" t="str">
        <f aca="true">IF(E60&lt;&gt;"",IF(F60&lt;&gt;"",F60,NOW()),"")</f>
        <v/>
      </c>
      <c r="G60" s="89"/>
      <c r="H60" s="127"/>
      <c r="I60" s="128"/>
      <c r="J60" s="129"/>
      <c r="K60" s="130"/>
      <c r="L60" s="131"/>
      <c r="M60" s="132" t="s">
        <v>59</v>
      </c>
      <c r="N60" s="157"/>
      <c r="O60" s="157"/>
      <c r="P60" s="97"/>
      <c r="Q60" s="143"/>
      <c r="R60" s="144"/>
      <c r="S60" s="145"/>
      <c r="T60" s="146"/>
      <c r="U60" s="147"/>
      <c r="V60" s="148"/>
      <c r="W60" s="148"/>
      <c r="X60" s="156" t="s">
        <v>60</v>
      </c>
      <c r="Y60" s="105" t="n">
        <f aca="false">B1</f>
        <v>0</v>
      </c>
      <c r="Z60" s="106" t="n">
        <f aca="false">B21</f>
        <v>0</v>
      </c>
    </row>
    <row r="61" customFormat="false" ht="15.75" hidden="false" customHeight="true" outlineLevel="0" collapsed="false">
      <c r="A61" s="123"/>
      <c r="B61" s="124" t="str">
        <f aca="true">IF(A61&lt;&gt;"",IF(B61&lt;&gt;"",B61,NOW()),"")</f>
        <v/>
      </c>
      <c r="C61" s="125"/>
      <c r="D61" s="124" t="str">
        <f aca="true">IF(C61&lt;&gt;"",IF(D61&lt;&gt;"",D61,NOW()),"")</f>
        <v/>
      </c>
      <c r="E61" s="126"/>
      <c r="F61" s="124" t="str">
        <f aca="true">IF(E61&lt;&gt;"",IF(F61&lt;&gt;"",F61,NOW()),"")</f>
        <v/>
      </c>
      <c r="G61" s="89"/>
      <c r="H61" s="127"/>
      <c r="I61" s="128"/>
      <c r="J61" s="129"/>
      <c r="K61" s="130"/>
      <c r="L61" s="131"/>
      <c r="M61" s="140" t="n">
        <f aca="false">SUM(O58:O66)</f>
        <v>0</v>
      </c>
      <c r="N61" s="157"/>
      <c r="O61" s="157"/>
      <c r="P61" s="97"/>
      <c r="Q61" s="143"/>
      <c r="R61" s="144"/>
      <c r="S61" s="145"/>
      <c r="T61" s="146"/>
      <c r="U61" s="147"/>
      <c r="V61" s="148"/>
      <c r="W61" s="148"/>
      <c r="X61" s="156" t="s">
        <v>61</v>
      </c>
      <c r="Y61" s="105" t="n">
        <f aca="false">D1</f>
        <v>0</v>
      </c>
      <c r="Z61" s="106" t="n">
        <f aca="false">D21</f>
        <v>0</v>
      </c>
    </row>
    <row r="62" customFormat="false" ht="15.75" hidden="false" customHeight="true" outlineLevel="0" collapsed="false">
      <c r="A62" s="123"/>
      <c r="B62" s="124" t="str">
        <f aca="true">IF(A62&lt;&gt;"",IF(B62&lt;&gt;"",B62,NOW()),"")</f>
        <v/>
      </c>
      <c r="C62" s="125"/>
      <c r="D62" s="124" t="str">
        <f aca="true">IF(C62&lt;&gt;"",IF(D62&lt;&gt;"",D62,NOW()),"")</f>
        <v/>
      </c>
      <c r="E62" s="126"/>
      <c r="F62" s="124" t="str">
        <f aca="true">IF(E62&lt;&gt;"",IF(F62&lt;&gt;"",F62,NOW()),"")</f>
        <v/>
      </c>
      <c r="G62" s="89"/>
      <c r="H62" s="127"/>
      <c r="I62" s="128"/>
      <c r="J62" s="129"/>
      <c r="K62" s="130"/>
      <c r="L62" s="150"/>
      <c r="M62" s="151"/>
      <c r="N62" s="157"/>
      <c r="O62" s="157" t="s">
        <v>57</v>
      </c>
      <c r="P62" s="97"/>
      <c r="Q62" s="143"/>
      <c r="R62" s="144"/>
      <c r="S62" s="145"/>
      <c r="T62" s="146"/>
      <c r="U62" s="160"/>
      <c r="V62" s="58"/>
      <c r="W62" s="58"/>
      <c r="X62" s="156" t="s">
        <v>62</v>
      </c>
      <c r="Y62" s="105" t="n">
        <f aca="false">F1</f>
        <v>0</v>
      </c>
      <c r="Z62" s="106" t="n">
        <f aca="false">F21</f>
        <v>0</v>
      </c>
    </row>
    <row r="63" customFormat="false" ht="15.75" hidden="false" customHeight="true" outlineLevel="0" collapsed="false">
      <c r="A63" s="123"/>
      <c r="B63" s="124" t="str">
        <f aca="true">IF(A63&lt;&gt;"",IF(B63&lt;&gt;"",B63,NOW()),"")</f>
        <v/>
      </c>
      <c r="C63" s="125"/>
      <c r="D63" s="124" t="str">
        <f aca="true">IF(C63&lt;&gt;"",IF(D63&lt;&gt;"",D63,NOW()),"")</f>
        <v/>
      </c>
      <c r="E63" s="126"/>
      <c r="F63" s="124" t="str">
        <f aca="true">IF(E63&lt;&gt;"",IF(F63&lt;&gt;"",F63,NOW()),"")</f>
        <v/>
      </c>
      <c r="G63" s="89"/>
      <c r="H63" s="127"/>
      <c r="I63" s="128"/>
      <c r="J63" s="129"/>
      <c r="K63" s="130"/>
      <c r="L63" s="150"/>
      <c r="M63" s="155"/>
      <c r="N63" s="157"/>
      <c r="O63" s="157"/>
      <c r="P63" s="97"/>
      <c r="Q63" s="143"/>
      <c r="R63" s="144"/>
      <c r="S63" s="145"/>
      <c r="T63" s="146"/>
      <c r="U63" s="6"/>
      <c r="V63" s="161" t="s">
        <v>63</v>
      </c>
      <c r="W63" s="161" t="n">
        <f aca="false">O73*0.3*W64/W65</f>
        <v>0</v>
      </c>
      <c r="X63" s="156" t="s">
        <v>64</v>
      </c>
      <c r="Y63" s="105" t="n">
        <f aca="false">H1</f>
        <v>0</v>
      </c>
      <c r="Z63" s="106" t="n">
        <f aca="false">H21</f>
        <v>0</v>
      </c>
    </row>
    <row r="64" customFormat="false" ht="15.75" hidden="false" customHeight="true" outlineLevel="0" collapsed="false">
      <c r="A64" s="123"/>
      <c r="B64" s="124" t="str">
        <f aca="true">IF(A64&lt;&gt;"",IF(B64&lt;&gt;"",B64,NOW()),"")</f>
        <v/>
      </c>
      <c r="C64" s="125"/>
      <c r="D64" s="124" t="str">
        <f aca="true">IF(C64&lt;&gt;"",IF(D64&lt;&gt;"",D64,NOW()),"")</f>
        <v/>
      </c>
      <c r="E64" s="126"/>
      <c r="F64" s="124" t="str">
        <f aca="true">IF(E64&lt;&gt;"",IF(F64&lt;&gt;"",F64,NOW()),"")</f>
        <v/>
      </c>
      <c r="G64" s="89"/>
      <c r="H64" s="127"/>
      <c r="I64" s="128"/>
      <c r="J64" s="129"/>
      <c r="K64" s="130"/>
      <c r="L64" s="150"/>
      <c r="M64" s="155"/>
      <c r="N64" s="157"/>
      <c r="O64" s="157"/>
      <c r="P64" s="97"/>
      <c r="Q64" s="143"/>
      <c r="R64" s="144"/>
      <c r="S64" s="145"/>
      <c r="T64" s="146"/>
      <c r="U64" s="6"/>
      <c r="V64" s="161" t="s">
        <v>65</v>
      </c>
      <c r="W64" s="162"/>
      <c r="X64" s="156" t="s">
        <v>66</v>
      </c>
      <c r="Y64" s="105" t="n">
        <f aca="false">J1</f>
        <v>0</v>
      </c>
      <c r="Z64" s="106" t="n">
        <f aca="false">J21</f>
        <v>0</v>
      </c>
    </row>
    <row r="65" customFormat="false" ht="15.75" hidden="false" customHeight="true" outlineLevel="0" collapsed="false">
      <c r="A65" s="123"/>
      <c r="B65" s="124" t="str">
        <f aca="true">IF(A65&lt;&gt;"",IF(B65&lt;&gt;"",B65,NOW()),"")</f>
        <v/>
      </c>
      <c r="C65" s="125"/>
      <c r="D65" s="124" t="str">
        <f aca="true">IF(C65&lt;&gt;"",IF(D65&lt;&gt;"",D65,NOW()),"")</f>
        <v/>
      </c>
      <c r="E65" s="126"/>
      <c r="F65" s="124" t="str">
        <f aca="true">IF(E65&lt;&gt;"",IF(F65&lt;&gt;"",F65,NOW()),"")</f>
        <v/>
      </c>
      <c r="G65" s="89"/>
      <c r="H65" s="127"/>
      <c r="I65" s="128"/>
      <c r="J65" s="129"/>
      <c r="K65" s="130"/>
      <c r="L65" s="150"/>
      <c r="M65" s="155"/>
      <c r="N65" s="157"/>
      <c r="O65" s="157"/>
      <c r="P65" s="97"/>
      <c r="Q65" s="143" t="str">
        <f aca="false">N49</f>
        <v>Касса</v>
      </c>
      <c r="R65" s="144"/>
      <c r="S65" s="145" t="str">
        <f aca="false">N49</f>
        <v>Касса</v>
      </c>
      <c r="T65" s="146"/>
      <c r="U65" s="6"/>
      <c r="V65" s="161" t="s">
        <v>67</v>
      </c>
      <c r="W65" s="163" t="n">
        <f aca="false">W69</f>
        <v>1</v>
      </c>
      <c r="X65" s="156" t="s">
        <v>68</v>
      </c>
      <c r="Y65" s="105" t="n">
        <f aca="false">L1</f>
        <v>0</v>
      </c>
      <c r="Z65" s="106" t="n">
        <f aca="false">L21</f>
        <v>0</v>
      </c>
    </row>
    <row r="66" customFormat="false" ht="15.75" hidden="false" customHeight="true" outlineLevel="0" collapsed="false">
      <c r="A66" s="123"/>
      <c r="B66" s="124" t="str">
        <f aca="true">IF(A66&lt;&gt;"",IF(B66&lt;&gt;"",B66,NOW()),"")</f>
        <v/>
      </c>
      <c r="C66" s="125"/>
      <c r="D66" s="124" t="str">
        <f aca="true">IF(C66&lt;&gt;"",IF(D66&lt;&gt;"",D66,NOW()),"")</f>
        <v/>
      </c>
      <c r="E66" s="126"/>
      <c r="F66" s="124" t="str">
        <f aca="true">IF(E66&lt;&gt;"",IF(F66&lt;&gt;"",F66,NOW()),"")</f>
        <v/>
      </c>
      <c r="G66" s="89"/>
      <c r="H66" s="127"/>
      <c r="I66" s="128"/>
      <c r="J66" s="129"/>
      <c r="K66" s="130"/>
      <c r="L66" s="150"/>
      <c r="M66" s="164"/>
      <c r="N66" s="157"/>
      <c r="O66" s="157"/>
      <c r="P66" s="97"/>
      <c r="Q66" s="143"/>
      <c r="R66" s="144"/>
      <c r="S66" s="145"/>
      <c r="T66" s="146"/>
      <c r="U66" s="6"/>
      <c r="V66" s="76"/>
      <c r="W66" s="76"/>
      <c r="X66" s="156" t="s">
        <v>69</v>
      </c>
      <c r="Y66" s="105" t="n">
        <f aca="false">N1</f>
        <v>0</v>
      </c>
      <c r="Z66" s="106" t="n">
        <f aca="false">N21</f>
        <v>0</v>
      </c>
    </row>
    <row r="67" customFormat="false" ht="15.75" hidden="false" customHeight="true" outlineLevel="0" collapsed="false">
      <c r="A67" s="123"/>
      <c r="B67" s="124" t="str">
        <f aca="true">IF(A67&lt;&gt;"",IF(B67&lt;&gt;"",B67,NOW()),"")</f>
        <v/>
      </c>
      <c r="C67" s="125"/>
      <c r="D67" s="124" t="str">
        <f aca="true">IF(C67&lt;&gt;"",IF(D67&lt;&gt;"",D67,NOW()),"")</f>
        <v/>
      </c>
      <c r="E67" s="126"/>
      <c r="F67" s="124" t="str">
        <f aca="true">IF(E67&lt;&gt;"",IF(F67&lt;&gt;"",F67,NOW()),"")</f>
        <v/>
      </c>
      <c r="G67" s="89"/>
      <c r="H67" s="127"/>
      <c r="I67" s="128"/>
      <c r="J67" s="129"/>
      <c r="K67" s="130"/>
      <c r="L67" s="131"/>
      <c r="M67" s="132" t="s">
        <v>70</v>
      </c>
      <c r="N67" s="165"/>
      <c r="O67" s="166" t="n">
        <f aca="false">H49*H89</f>
        <v>0</v>
      </c>
      <c r="P67" s="120"/>
      <c r="Q67" s="143"/>
      <c r="R67" s="144"/>
      <c r="S67" s="145"/>
      <c r="T67" s="146"/>
      <c r="U67" s="6"/>
      <c r="V67" s="161" t="s">
        <v>63</v>
      </c>
      <c r="W67" s="161" t="n">
        <f aca="false">O73*0.3*W68/W69</f>
        <v>0</v>
      </c>
      <c r="X67" s="156" t="s">
        <v>71</v>
      </c>
      <c r="Y67" s="105" t="n">
        <f aca="false">P1</f>
        <v>0</v>
      </c>
      <c r="Z67" s="106" t="n">
        <f aca="false">P21</f>
        <v>0</v>
      </c>
    </row>
    <row r="68" customFormat="false" ht="15.75" hidden="false" customHeight="true" outlineLevel="0" collapsed="false">
      <c r="A68" s="123"/>
      <c r="B68" s="124" t="str">
        <f aca="true">IF(A68&lt;&gt;"",IF(B68&lt;&gt;"",B68,NOW()),"")</f>
        <v/>
      </c>
      <c r="C68" s="125"/>
      <c r="D68" s="124" t="str">
        <f aca="true">IF(C68&lt;&gt;"",IF(D68&lt;&gt;"",D68,NOW()),"")</f>
        <v/>
      </c>
      <c r="E68" s="126"/>
      <c r="F68" s="124" t="str">
        <f aca="true">IF(E68&lt;&gt;"",IF(F68&lt;&gt;"",F68,NOW()),"")</f>
        <v/>
      </c>
      <c r="G68" s="89"/>
      <c r="H68" s="127"/>
      <c r="I68" s="128"/>
      <c r="J68" s="129"/>
      <c r="K68" s="130"/>
      <c r="L68" s="131"/>
      <c r="M68" s="140" t="n">
        <f aca="false">SUM(O67:O71)</f>
        <v>0</v>
      </c>
      <c r="N68" s="167" t="s">
        <v>72</v>
      </c>
      <c r="O68" s="168" t="n">
        <f aca="false">I49*I89</f>
        <v>0</v>
      </c>
      <c r="P68" s="120"/>
      <c r="Q68" s="143"/>
      <c r="R68" s="144"/>
      <c r="S68" s="145"/>
      <c r="T68" s="146"/>
      <c r="U68" s="6"/>
      <c r="V68" s="161" t="s">
        <v>73</v>
      </c>
      <c r="W68" s="162"/>
      <c r="X68" s="156" t="s">
        <v>74</v>
      </c>
      <c r="Y68" s="105" t="n">
        <f aca="false">R1</f>
        <v>0</v>
      </c>
      <c r="Z68" s="106" t="n">
        <f aca="false">R21</f>
        <v>0</v>
      </c>
    </row>
    <row r="69" customFormat="false" ht="15.75" hidden="false" customHeight="true" outlineLevel="0" collapsed="false">
      <c r="A69" s="123"/>
      <c r="B69" s="124" t="str">
        <f aca="true">IF(A69&lt;&gt;"",IF(B69&lt;&gt;"",B69,NOW()),"")</f>
        <v/>
      </c>
      <c r="C69" s="125"/>
      <c r="D69" s="124" t="str">
        <f aca="true">IF(C69&lt;&gt;"",IF(D69&lt;&gt;"",D69,NOW()),"")</f>
        <v/>
      </c>
      <c r="E69" s="126"/>
      <c r="F69" s="124" t="str">
        <f aca="true">IF(E69&lt;&gt;"",IF(F69&lt;&gt;"",F69,NOW()),"")</f>
        <v/>
      </c>
      <c r="G69" s="89"/>
      <c r="H69" s="127"/>
      <c r="I69" s="128"/>
      <c r="J69" s="129"/>
      <c r="K69" s="130"/>
      <c r="L69" s="150"/>
      <c r="M69" s="169"/>
      <c r="N69" s="170" t="s">
        <v>75</v>
      </c>
      <c r="O69" s="171" t="n">
        <f aca="false">J49*J89</f>
        <v>0</v>
      </c>
      <c r="P69" s="120"/>
      <c r="Q69" s="143"/>
      <c r="R69" s="144"/>
      <c r="S69" s="145"/>
      <c r="T69" s="146"/>
      <c r="U69" s="6"/>
      <c r="V69" s="161" t="s">
        <v>67</v>
      </c>
      <c r="W69" s="163" t="n">
        <f aca="false">W73</f>
        <v>1</v>
      </c>
      <c r="X69" s="156" t="s">
        <v>76</v>
      </c>
      <c r="Y69" s="105" t="n">
        <f aca="false">T1</f>
        <v>0</v>
      </c>
      <c r="Z69" s="106" t="n">
        <f aca="false">T21</f>
        <v>0</v>
      </c>
    </row>
    <row r="70" customFormat="false" ht="15.75" hidden="false" customHeight="true" outlineLevel="0" collapsed="false">
      <c r="A70" s="123"/>
      <c r="B70" s="124" t="str">
        <f aca="true">IF(A70&lt;&gt;"",IF(B70&lt;&gt;"",B70,NOW()),"")</f>
        <v/>
      </c>
      <c r="C70" s="125"/>
      <c r="D70" s="124" t="str">
        <f aca="true">IF(C70&lt;&gt;"",IF(D70&lt;&gt;"",D70,NOW()),"")</f>
        <v/>
      </c>
      <c r="E70" s="126"/>
      <c r="F70" s="124" t="str">
        <f aca="true">IF(E70&lt;&gt;"",IF(F70&lt;&gt;"",F70,NOW()),"")</f>
        <v/>
      </c>
      <c r="G70" s="89"/>
      <c r="H70" s="127"/>
      <c r="I70" s="128"/>
      <c r="J70" s="129"/>
      <c r="K70" s="130"/>
      <c r="L70" s="150"/>
      <c r="M70" s="172"/>
      <c r="N70" s="162" t="s">
        <v>77</v>
      </c>
      <c r="O70" s="161" t="n">
        <f aca="false">K49*K89</f>
        <v>0</v>
      </c>
      <c r="P70" s="120"/>
      <c r="Q70" s="143"/>
      <c r="R70" s="144"/>
      <c r="S70" s="145"/>
      <c r="T70" s="146"/>
      <c r="U70" s="6"/>
      <c r="V70" s="76"/>
      <c r="W70" s="76"/>
      <c r="X70" s="156" t="s">
        <v>78</v>
      </c>
      <c r="Y70" s="105" t="n">
        <f aca="false">V1</f>
        <v>0</v>
      </c>
      <c r="Z70" s="106" t="n">
        <f aca="false">V21</f>
        <v>0</v>
      </c>
    </row>
    <row r="71" customFormat="false" ht="15.75" hidden="false" customHeight="true" outlineLevel="0" collapsed="false">
      <c r="A71" s="123"/>
      <c r="B71" s="124" t="str">
        <f aca="true">IF(A71&lt;&gt;"",IF(B71&lt;&gt;"",B71,NOW()),"")</f>
        <v/>
      </c>
      <c r="C71" s="125"/>
      <c r="D71" s="124" t="str">
        <f aca="true">IF(C71&lt;&gt;"",IF(D71&lt;&gt;"",D71,NOW()),"")</f>
        <v/>
      </c>
      <c r="E71" s="126"/>
      <c r="F71" s="124" t="str">
        <f aca="true">IF(E71&lt;&gt;"",IF(F71&lt;&gt;"",F71,NOW()),"")</f>
        <v/>
      </c>
      <c r="G71" s="89"/>
      <c r="H71" s="127"/>
      <c r="I71" s="128"/>
      <c r="J71" s="129"/>
      <c r="K71" s="130"/>
      <c r="L71" s="150"/>
      <c r="M71" s="173"/>
      <c r="N71" s="174" t="s">
        <v>79</v>
      </c>
      <c r="O71" s="175" t="n">
        <f aca="false">L49*L89</f>
        <v>0</v>
      </c>
      <c r="P71" s="120"/>
      <c r="Q71" s="143"/>
      <c r="R71" s="144"/>
      <c r="S71" s="145"/>
      <c r="T71" s="146"/>
      <c r="U71" s="6"/>
      <c r="V71" s="176" t="s">
        <v>63</v>
      </c>
      <c r="W71" s="176" t="n">
        <f aca="false">O73*0.4*W72/W73</f>
        <v>0</v>
      </c>
      <c r="X71" s="156" t="s">
        <v>80</v>
      </c>
      <c r="Y71" s="105" t="n">
        <f aca="false">X1</f>
        <v>0</v>
      </c>
      <c r="Z71" s="106" t="n">
        <f aca="false">X21</f>
        <v>0</v>
      </c>
    </row>
    <row r="72" customFormat="false" ht="15.75" hidden="false" customHeight="true" outlineLevel="0" collapsed="false">
      <c r="A72" s="123"/>
      <c r="B72" s="124" t="str">
        <f aca="true">IF(A72&lt;&gt;"",IF(B72&lt;&gt;"",B72,NOW()),"")</f>
        <v/>
      </c>
      <c r="C72" s="125"/>
      <c r="D72" s="124" t="str">
        <f aca="true">IF(C72&lt;&gt;"",IF(D72&lt;&gt;"",D72,NOW()),"")</f>
        <v/>
      </c>
      <c r="E72" s="126"/>
      <c r="F72" s="124" t="str">
        <f aca="true">IF(E72&lt;&gt;"",IF(F72&lt;&gt;"",F72,NOW()),"")</f>
        <v/>
      </c>
      <c r="G72" s="89"/>
      <c r="H72" s="127"/>
      <c r="I72" s="128"/>
      <c r="J72" s="129"/>
      <c r="K72" s="130"/>
      <c r="L72" s="131"/>
      <c r="M72" s="132" t="s">
        <v>81</v>
      </c>
      <c r="N72" s="6" t="s">
        <v>82</v>
      </c>
      <c r="O72" s="177" t="n">
        <f aca="false">SUM(O50:O71)</f>
        <v>0</v>
      </c>
      <c r="P72" s="120"/>
      <c r="Q72" s="143"/>
      <c r="R72" s="144"/>
      <c r="S72" s="145"/>
      <c r="T72" s="146"/>
      <c r="U72" s="6"/>
      <c r="V72" s="176" t="s">
        <v>83</v>
      </c>
      <c r="W72" s="178"/>
    </row>
    <row r="73" customFormat="false" ht="15.75" hidden="false" customHeight="true" outlineLevel="0" collapsed="false">
      <c r="A73" s="123"/>
      <c r="B73" s="124" t="str">
        <f aca="true">IF(A73&lt;&gt;"",IF(B73&lt;&gt;"",B73,NOW()),"")</f>
        <v/>
      </c>
      <c r="C73" s="125"/>
      <c r="D73" s="124" t="str">
        <f aca="true">IF(C73&lt;&gt;"",IF(D73&lt;&gt;"",D73,NOW()),"")</f>
        <v/>
      </c>
      <c r="E73" s="126"/>
      <c r="F73" s="124" t="str">
        <f aca="true">IF(E73&lt;&gt;"",IF(F73&lt;&gt;"",F73,NOW()),"")</f>
        <v/>
      </c>
      <c r="G73" s="89"/>
      <c r="H73" s="127"/>
      <c r="I73" s="128"/>
      <c r="J73" s="129"/>
      <c r="K73" s="130"/>
      <c r="L73" s="131"/>
      <c r="M73" s="140" t="n">
        <f aca="false">O72+O74</f>
        <v>0</v>
      </c>
      <c r="N73" s="179" t="s">
        <v>84</v>
      </c>
      <c r="O73" s="180" t="n">
        <f aca="false">O48-O72</f>
        <v>0</v>
      </c>
      <c r="P73" s="120"/>
      <c r="Q73" s="181"/>
      <c r="R73" s="144"/>
      <c r="S73" s="145"/>
      <c r="T73" s="182"/>
      <c r="U73" s="6"/>
      <c r="V73" s="176" t="s">
        <v>67</v>
      </c>
      <c r="W73" s="183" t="n">
        <f aca="false">W77</f>
        <v>1</v>
      </c>
    </row>
    <row r="74" customFormat="false" ht="15.75" hidden="false" customHeight="true" outlineLevel="0" collapsed="false">
      <c r="A74" s="123"/>
      <c r="B74" s="124" t="str">
        <f aca="true">IF(A74&lt;&gt;"",IF(B74&lt;&gt;"",B74,NOW()),"")</f>
        <v/>
      </c>
      <c r="C74" s="125"/>
      <c r="D74" s="124" t="str">
        <f aca="true">IF(C74&lt;&gt;"",IF(D74&lt;&gt;"",D74,NOW()),"")</f>
        <v/>
      </c>
      <c r="E74" s="126"/>
      <c r="F74" s="124" t="str">
        <f aca="true">IF(E74&lt;&gt;"",IF(F74&lt;&gt;"",F74,NOW()),"")</f>
        <v/>
      </c>
      <c r="G74" s="89"/>
      <c r="H74" s="127"/>
      <c r="I74" s="128"/>
      <c r="J74" s="129"/>
      <c r="K74" s="130"/>
      <c r="L74" s="150"/>
      <c r="M74" s="184"/>
      <c r="N74" s="185" t="s">
        <v>63</v>
      </c>
      <c r="O74" s="186" t="n">
        <f aca="false">W67+W71+W75+W63</f>
        <v>0</v>
      </c>
      <c r="P74" s="120"/>
      <c r="Q74" s="187"/>
      <c r="R74" s="188" t="n">
        <f aca="false">SUM(R51:R73)</f>
        <v>0</v>
      </c>
      <c r="S74" s="189"/>
      <c r="T74" s="190" t="n">
        <f aca="false">SUM(T51:T73)</f>
        <v>0</v>
      </c>
      <c r="U74" s="6"/>
      <c r="V74" s="76"/>
      <c r="W74" s="76"/>
    </row>
    <row r="75" customFormat="false" ht="15.75" hidden="false" customHeight="true" outlineLevel="0" collapsed="false">
      <c r="A75" s="123"/>
      <c r="B75" s="124" t="str">
        <f aca="true">IF(A75&lt;&gt;"",IF(B75&lt;&gt;"",B75,NOW()),"")</f>
        <v/>
      </c>
      <c r="C75" s="125"/>
      <c r="D75" s="124" t="str">
        <f aca="true">IF(C75&lt;&gt;"",IF(D75&lt;&gt;"",D75,NOW()),"")</f>
        <v/>
      </c>
      <c r="E75" s="126"/>
      <c r="F75" s="124" t="str">
        <f aca="true">IF(E75&lt;&gt;"",IF(F75&lt;&gt;"",F75,NOW()),"")</f>
        <v/>
      </c>
      <c r="G75" s="89"/>
      <c r="H75" s="127"/>
      <c r="I75" s="128"/>
      <c r="J75" s="129"/>
      <c r="K75" s="130"/>
      <c r="L75" s="150"/>
      <c r="M75" s="6"/>
      <c r="N75" s="95" t="s">
        <v>85</v>
      </c>
      <c r="O75" s="191" t="n">
        <f aca="false">O73-O74</f>
        <v>0</v>
      </c>
      <c r="P75" s="20"/>
      <c r="Q75" s="20"/>
      <c r="R75" s="192"/>
      <c r="S75" s="193" t="n">
        <f aca="false">R74+T74</f>
        <v>0</v>
      </c>
      <c r="T75" s="184"/>
      <c r="U75" s="76"/>
      <c r="V75" s="194" t="s">
        <v>63</v>
      </c>
      <c r="W75" s="194" t="n">
        <f aca="false">O73*0.3/W77*W76</f>
        <v>0</v>
      </c>
    </row>
    <row r="76" customFormat="false" ht="15.75" hidden="false" customHeight="true" outlineLevel="0" collapsed="false">
      <c r="A76" s="123"/>
      <c r="B76" s="124" t="str">
        <f aca="true">IF(A76&lt;&gt;"",IF(B76&lt;&gt;"",B76,NOW()),"")</f>
        <v/>
      </c>
      <c r="C76" s="125"/>
      <c r="D76" s="124" t="str">
        <f aca="true">IF(C76&lt;&gt;"",IF(D76&lt;&gt;"",D76,NOW()),"")</f>
        <v/>
      </c>
      <c r="E76" s="126"/>
      <c r="F76" s="124" t="str">
        <f aca="true">IF(E76&lt;&gt;"",IF(F76&lt;&gt;"",F76,NOW()),"")</f>
        <v/>
      </c>
      <c r="G76" s="89"/>
      <c r="H76" s="127"/>
      <c r="I76" s="128"/>
      <c r="J76" s="129"/>
      <c r="K76" s="130"/>
      <c r="L76" s="150"/>
      <c r="M76" s="16"/>
      <c r="N76" s="76"/>
      <c r="O76" s="58"/>
      <c r="P76" s="20"/>
      <c r="Q76" s="20"/>
      <c r="R76" s="20"/>
      <c r="S76" s="20"/>
      <c r="T76" s="76"/>
      <c r="U76" s="76"/>
      <c r="V76" s="194" t="s">
        <v>65</v>
      </c>
      <c r="W76" s="195"/>
    </row>
    <row r="77" customFormat="false" ht="15.75" hidden="false" customHeight="true" outlineLevel="0" collapsed="false">
      <c r="A77" s="123"/>
      <c r="B77" s="124" t="str">
        <f aca="true">IF(A77&lt;&gt;"",IF(B77&lt;&gt;"",B77,NOW()),"")</f>
        <v/>
      </c>
      <c r="C77" s="125"/>
      <c r="D77" s="124" t="str">
        <f aca="true">IF(C77&lt;&gt;"",IF(D77&lt;&gt;"",D77,NOW()),"")</f>
        <v/>
      </c>
      <c r="E77" s="126"/>
      <c r="F77" s="124" t="str">
        <f aca="true">IF(E77&lt;&gt;"",IF(F77&lt;&gt;"",F77,NOW()),"")</f>
        <v/>
      </c>
      <c r="G77" s="89"/>
      <c r="H77" s="127"/>
      <c r="I77" s="128"/>
      <c r="J77" s="129"/>
      <c r="K77" s="130"/>
      <c r="L77" s="150"/>
      <c r="M77" s="16"/>
      <c r="N77" s="178"/>
      <c r="O77" s="176" t="n">
        <f aca="false">O67+W71+I87*0.5</f>
        <v>0</v>
      </c>
      <c r="P77" s="20"/>
      <c r="Q77" s="20"/>
      <c r="R77" s="20"/>
      <c r="S77" s="20"/>
      <c r="T77" s="76"/>
      <c r="U77" s="76"/>
      <c r="V77" s="194" t="s">
        <v>67</v>
      </c>
      <c r="W77" s="196" t="n">
        <v>1</v>
      </c>
    </row>
    <row r="78" customFormat="false" ht="15.75" hidden="false" customHeight="true" outlineLevel="0" collapsed="false">
      <c r="A78" s="123"/>
      <c r="B78" s="124" t="str">
        <f aca="true">IF(A78&lt;&gt;"",IF(B78&lt;&gt;"",B78,NOW()),"")</f>
        <v/>
      </c>
      <c r="C78" s="125"/>
      <c r="D78" s="124" t="str">
        <f aca="true">IF(C78&lt;&gt;"",IF(D78&lt;&gt;"",D78,NOW()),"")</f>
        <v/>
      </c>
      <c r="E78" s="126"/>
      <c r="F78" s="124" t="str">
        <f aca="true">IF(E78&lt;&gt;"",IF(F78&lt;&gt;"",F78,NOW()),"")</f>
        <v/>
      </c>
      <c r="G78" s="89"/>
      <c r="H78" s="127"/>
      <c r="I78" s="128"/>
      <c r="J78" s="129"/>
      <c r="K78" s="130"/>
      <c r="L78" s="150"/>
      <c r="M78" s="16"/>
      <c r="N78" s="197" t="s">
        <v>72</v>
      </c>
      <c r="O78" s="198" t="n">
        <f aca="false">O68 +(I87*0.5)</f>
        <v>0</v>
      </c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customFormat="false" ht="15.75" hidden="false" customHeight="true" outlineLevel="0" collapsed="false">
      <c r="A79" s="123"/>
      <c r="B79" s="124" t="str">
        <f aca="true">IF(A79&lt;&gt;"",IF(B79&lt;&gt;"",B79,NOW()),"")</f>
        <v/>
      </c>
      <c r="C79" s="125"/>
      <c r="D79" s="124" t="str">
        <f aca="true">IF(C79&lt;&gt;"",IF(D79&lt;&gt;"",D79,NOW()),"")</f>
        <v/>
      </c>
      <c r="E79" s="126"/>
      <c r="F79" s="124" t="str">
        <f aca="true">IF(E79&lt;&gt;"",IF(F79&lt;&gt;"",F79,NOW()),"")</f>
        <v/>
      </c>
      <c r="G79" s="89"/>
      <c r="H79" s="127"/>
      <c r="I79" s="128"/>
      <c r="J79" s="129"/>
      <c r="K79" s="130"/>
      <c r="L79" s="150"/>
      <c r="M79" s="16"/>
      <c r="N79" s="170" t="n">
        <f aca="false">J48</f>
        <v>0</v>
      </c>
      <c r="O79" s="171" t="n">
        <f aca="false">O69+J87*0.5</f>
        <v>0</v>
      </c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customFormat="false" ht="15.75" hidden="false" customHeight="true" outlineLevel="0" collapsed="false">
      <c r="A80" s="123"/>
      <c r="B80" s="124" t="str">
        <f aca="true">IF(A80&lt;&gt;"",IF(B80&lt;&gt;"",B80,NOW()),"")</f>
        <v/>
      </c>
      <c r="C80" s="125"/>
      <c r="D80" s="124" t="str">
        <f aca="true">IF(C80&lt;&gt;"",IF(D80&lt;&gt;"",D80,NOW()),"")</f>
        <v/>
      </c>
      <c r="E80" s="126"/>
      <c r="F80" s="124" t="str">
        <f aca="true">IF(E80&lt;&gt;"",IF(F80&lt;&gt;"",F80,NOW()),"")</f>
        <v/>
      </c>
      <c r="G80" s="89"/>
      <c r="H80" s="127"/>
      <c r="I80" s="128"/>
      <c r="J80" s="129"/>
      <c r="K80" s="130"/>
      <c r="L80" s="150"/>
      <c r="M80" s="16"/>
      <c r="N80" s="162" t="n">
        <f aca="false">K48</f>
        <v>0</v>
      </c>
      <c r="O80" s="161" t="n">
        <f aca="false">O70+K87*0.5</f>
        <v>0</v>
      </c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customFormat="false" ht="15.75" hidden="false" customHeight="true" outlineLevel="0" collapsed="false">
      <c r="A81" s="123"/>
      <c r="B81" s="124" t="str">
        <f aca="true">IF(A81&lt;&gt;"",IF(B81&lt;&gt;"",B81,NOW()),"")</f>
        <v/>
      </c>
      <c r="C81" s="125"/>
      <c r="D81" s="124" t="str">
        <f aca="true">IF(C81&lt;&gt;"",IF(D81&lt;&gt;"",D81,NOW()),"")</f>
        <v/>
      </c>
      <c r="E81" s="126"/>
      <c r="F81" s="124" t="str">
        <f aca="true">IF(E81&lt;&gt;"",IF(F81&lt;&gt;"",F81,NOW()),"")</f>
        <v/>
      </c>
      <c r="G81" s="89"/>
      <c r="H81" s="127"/>
      <c r="I81" s="128"/>
      <c r="J81" s="129"/>
      <c r="K81" s="130"/>
      <c r="L81" s="150"/>
      <c r="M81" s="16"/>
      <c r="N81" s="174" t="n">
        <f aca="false">L48</f>
        <v>0</v>
      </c>
      <c r="O81" s="175" t="n">
        <f aca="false">O71+L87*0.5</f>
        <v>0</v>
      </c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customFormat="false" ht="15.75" hidden="false" customHeight="true" outlineLevel="0" collapsed="false">
      <c r="A82" s="123"/>
      <c r="B82" s="124" t="str">
        <f aca="true">IF(A82&lt;&gt;"",IF(B82&lt;&gt;"",B82,NOW()),"")</f>
        <v/>
      </c>
      <c r="C82" s="125"/>
      <c r="D82" s="124" t="str">
        <f aca="true">IF(C82&lt;&gt;"",IF(D82&lt;&gt;"",D82,NOW()),"")</f>
        <v/>
      </c>
      <c r="E82" s="126"/>
      <c r="F82" s="124" t="str">
        <f aca="true">IF(E82&lt;&gt;"",IF(F82&lt;&gt;"",F82,NOW()),"")</f>
        <v/>
      </c>
      <c r="G82" s="89"/>
      <c r="H82" s="127"/>
      <c r="I82" s="128"/>
      <c r="J82" s="129"/>
      <c r="K82" s="130"/>
      <c r="L82" s="150"/>
      <c r="M82" s="154" t="n">
        <f aca="false">SUM(M77:M81)</f>
        <v>0</v>
      </c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customFormat="false" ht="15.75" hidden="false" customHeight="true" outlineLevel="0" collapsed="false">
      <c r="A83" s="123"/>
      <c r="B83" s="124" t="str">
        <f aca="true">IF(A83&lt;&gt;"",IF(B83&lt;&gt;"",B83,NOW()),"")</f>
        <v/>
      </c>
      <c r="C83" s="125"/>
      <c r="D83" s="124" t="str">
        <f aca="true">IF(C83&lt;&gt;"",IF(D83&lt;&gt;"",D83,NOW()),"")</f>
        <v/>
      </c>
      <c r="E83" s="126"/>
      <c r="F83" s="124" t="str">
        <f aca="true">IF(E83&lt;&gt;"",IF(F83&lt;&gt;"",F83,NOW()),"")</f>
        <v/>
      </c>
      <c r="G83" s="89"/>
      <c r="H83" s="127"/>
      <c r="I83" s="128"/>
      <c r="J83" s="129"/>
      <c r="K83" s="130"/>
      <c r="L83" s="15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customFormat="false" ht="15.75" hidden="false" customHeight="true" outlineLevel="0" collapsed="false">
      <c r="A84" s="123"/>
      <c r="B84" s="124" t="str">
        <f aca="true">IF(A84&lt;&gt;"",IF(B84&lt;&gt;"",B84,NOW()),"")</f>
        <v/>
      </c>
      <c r="C84" s="125"/>
      <c r="D84" s="124" t="str">
        <f aca="true">IF(C84&lt;&gt;"",IF(D84&lt;&gt;"",D84,NOW()),"")</f>
        <v/>
      </c>
      <c r="E84" s="126"/>
      <c r="F84" s="124" t="str">
        <f aca="true">IF(E84&lt;&gt;"",IF(F84&lt;&gt;"",F84,NOW()),"")</f>
        <v/>
      </c>
      <c r="G84" s="89"/>
      <c r="H84" s="127"/>
      <c r="I84" s="128"/>
      <c r="J84" s="129"/>
      <c r="K84" s="130"/>
      <c r="L84" s="15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customFormat="false" ht="15.75" hidden="false" customHeight="true" outlineLevel="0" collapsed="false">
      <c r="A85" s="123"/>
      <c r="B85" s="124" t="str">
        <f aca="true">IF(A85&lt;&gt;"",IF(B85&lt;&gt;"",B85,NOW()),"")</f>
        <v/>
      </c>
      <c r="C85" s="125"/>
      <c r="D85" s="124" t="str">
        <f aca="true">IF(C85&lt;&gt;"",IF(D85&lt;&gt;"",D85,NOW()),"")</f>
        <v/>
      </c>
      <c r="E85" s="126"/>
      <c r="F85" s="124" t="str">
        <f aca="true">IF(E85&lt;&gt;"",IF(F85&lt;&gt;"",F85,NOW()),"")</f>
        <v/>
      </c>
      <c r="G85" s="89"/>
      <c r="H85" s="127"/>
      <c r="I85" s="128"/>
      <c r="J85" s="129"/>
      <c r="K85" s="130"/>
      <c r="L85" s="15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customFormat="false" ht="15.75" hidden="false" customHeight="true" outlineLevel="0" collapsed="false">
      <c r="A86" s="123"/>
      <c r="B86" s="124" t="str">
        <f aca="true">IF(A86&lt;&gt;"",IF(B86&lt;&gt;"",B86,NOW()),"")</f>
        <v/>
      </c>
      <c r="C86" s="125"/>
      <c r="D86" s="124" t="str">
        <f aca="true">IF(C86&lt;&gt;"",IF(D86&lt;&gt;"",D86,NOW()),"")</f>
        <v/>
      </c>
      <c r="E86" s="126"/>
      <c r="F86" s="124" t="str">
        <f aca="true">IF(E86&lt;&gt;"",IF(F86&lt;&gt;"",F86,NOW()),"")</f>
        <v/>
      </c>
      <c r="G86" s="199" t="s">
        <v>86</v>
      </c>
      <c r="H86" s="127"/>
      <c r="I86" s="128"/>
      <c r="J86" s="129"/>
      <c r="K86" s="130"/>
      <c r="L86" s="15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customFormat="false" ht="15.75" hidden="false" customHeight="true" outlineLevel="0" collapsed="false">
      <c r="A87" s="200" t="n">
        <f aca="false">SUM(A49:A86)</f>
        <v>0</v>
      </c>
      <c r="B87" s="201"/>
      <c r="C87" s="202" t="n">
        <f aca="false">SUM(C49:C86)</f>
        <v>0</v>
      </c>
      <c r="D87" s="201"/>
      <c r="E87" s="203" t="n">
        <f aca="false">SUM(E49:E86)</f>
        <v>0</v>
      </c>
      <c r="F87" s="204"/>
      <c r="G87" s="205" t="n">
        <f aca="false">SUM(I87:L87)+A87+C87+E87</f>
        <v>0</v>
      </c>
      <c r="H87" s="206"/>
      <c r="I87" s="207" t="n">
        <f aca="false">SUM(I50:I86)</f>
        <v>0</v>
      </c>
      <c r="J87" s="207" t="n">
        <f aca="false">SUM(J50:J86)</f>
        <v>0</v>
      </c>
      <c r="K87" s="207" t="n">
        <f aca="false">SUM(K50:K86)</f>
        <v>0</v>
      </c>
      <c r="L87" s="207" t="n">
        <f aca="false">SUM(L50:L86)</f>
        <v>0</v>
      </c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customFormat="false" ht="15.75" hidden="false" customHeight="true" outlineLevel="0" collapsed="false">
      <c r="A88" s="200" t="n">
        <f aca="false">J87*0.5</f>
        <v>0</v>
      </c>
      <c r="B88" s="201" t="s">
        <v>87</v>
      </c>
      <c r="C88" s="202" t="n">
        <f aca="false">K87*0.5</f>
        <v>0</v>
      </c>
      <c r="D88" s="201" t="s">
        <v>87</v>
      </c>
      <c r="E88" s="203" t="n">
        <f aca="false">L87*0.5</f>
        <v>0</v>
      </c>
      <c r="F88" s="204" t="s">
        <v>87</v>
      </c>
      <c r="G88" s="89"/>
      <c r="H88" s="127" t="s">
        <v>88</v>
      </c>
      <c r="I88" s="128" t="s">
        <v>88</v>
      </c>
      <c r="J88" s="129" t="s">
        <v>88</v>
      </c>
      <c r="K88" s="130" t="s">
        <v>88</v>
      </c>
      <c r="L88" s="150" t="s">
        <v>88</v>
      </c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customFormat="false" ht="15.75" hidden="false" customHeight="true" outlineLevel="0" collapsed="false">
      <c r="A89" s="200" t="n">
        <f aca="false">A87+A88</f>
        <v>0</v>
      </c>
      <c r="B89" s="201" t="s">
        <v>89</v>
      </c>
      <c r="C89" s="202" t="n">
        <f aca="false">C87+C88</f>
        <v>0</v>
      </c>
      <c r="D89" s="201" t="s">
        <v>89</v>
      </c>
      <c r="E89" s="203" t="n">
        <f aca="false">E87+E88</f>
        <v>0</v>
      </c>
      <c r="F89" s="204" t="s">
        <v>89</v>
      </c>
      <c r="G89" s="89"/>
      <c r="H89" s="207"/>
      <c r="I89" s="207"/>
      <c r="J89" s="207"/>
      <c r="K89" s="207"/>
      <c r="L89" s="89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  <row r="1004" customFormat="false" ht="15.75" hidden="false" customHeight="true" outlineLevel="0" collapsed="false"/>
    <row r="1005" customFormat="false" ht="15.75" hidden="false" customHeight="true" outlineLevel="0" collapsed="false"/>
    <row r="1006" customFormat="false" ht="15.75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2026-01-22T12:23:42Z</dcterms:modified>
  <cp:revision>2</cp:revision>
  <dc:subject/>
  <dc:title/>
</cp:coreProperties>
</file>